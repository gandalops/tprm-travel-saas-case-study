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Findings" sheetId="3" state="visible" r:id="rId5"/>
    <sheet name="Risk register" sheetId="4" state="visible" r:id="rId6"/>
    <sheet name="Conditions" sheetId="5" state="visible" r:id="rId7"/>
    <sheet name="New actions" sheetId="6" state="visible" r:id="rId8"/>
    <sheet name="Follow-up questions" sheetId="7" state="visible" r:id="rId9"/>
    <sheet name="Re-asked" sheetId="8" state="visible" r:id="rId10"/>
    <sheet name="Evidence log" sheetId="9" state="visible" r:id="rId11"/>
    <sheet name="Bank actions" sheetId="10" state="visible" r:id="rId12"/>
    <sheet name="Outside-in checks" sheetId="11" state="visible" r:id="rId13"/>
    <sheet name="Not requested" sheetId="12" state="visible" r:id="rId14"/>
    <sheet name="Controls (new)" sheetId="13" state="visible" r:id="rId15"/>
    <sheet name="Regulatory map" sheetId="14" state="visible" r:id="rId16"/>
    <sheet name="ISO view (follow-up)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<sst xmlns="http://schemas.openxmlformats.org/spreadsheetml/2006/main" count="2813" uniqueCount="1331">
  <si>
    <t xml:space="preserve">Follow-up workbook (simulated)</t>
  </si>
  <si>
    <t xml:space="preserve">Case study</t>
  </si>
  <si>
    <t xml:space="preserve">Fictional. Example Bank and Vendor X are placeholders. All vendor answers, evidence, dates and scores are simulated.</t>
  </si>
  <si>
    <t xml:space="preserve">Purpose</t>
  </si>
  <si>
    <t xml:space="preserve">The follow-up to the initial vendor assessment: the bank's follow-up questions, the vendor's simulated replies, the re-rating of findings and risks, and the status of the go-live conditions.</t>
  </si>
  <si>
    <t xml:space="preserve">Initial assessment</t>
  </si>
  <si>
    <t xml:space="preserve">Folders 01 to 05 are unchanged. This workbook records what moved, what stayed and what is new.</t>
  </si>
  <si>
    <t xml:space="preserve">Timeline</t>
  </si>
  <si>
    <t xml:space="preserve">Request issued 12 Oct 2026. First vendor reply 6 Nov 2026. Second evidence batch 27 Nov 2026. Re-assessment closed 4 Dec 2026. Risk committee 11 Dec 2026. Conditions due 15 Jan 2027. Go-live target 1 Feb 2027.</t>
  </si>
  <si>
    <t xml:space="preserve">Sheets</t>
  </si>
  <si>
    <t xml:space="preserve">Summary, Findings, Risk register (four scores), Conditions, New actions, Follow-up questions (65), Re-asked (23 questions left unassessed in the initial assessment), Evidence log, Bank actions, Outside-in checks, Not requested, Controls (new), Regulatory map, ISO view (follow-up).</t>
  </si>
  <si>
    <t xml:space="preserve">IDs</t>
  </si>
  <si>
    <t xml:space="preserve">Follow-up questions: FU-AREA-NN (for example FU-IAM-01). In the traceability matrix they carry the prefix Q-. New: FND-23 to FND-33, REM-23 to REM-33, RR-18 to RR-21, EV-26 to EV-66, CR-29 to CR-33, BA-nn (bank actions), OS-nn (outside-in checks).</t>
  </si>
  <si>
    <t xml:space="preserve">Reply types</t>
  </si>
  <si>
    <t xml:space="preserve">Full, Partial, Declined, No reply describe the vendor's reply. Rating (Satisfactory, Partial, Gap, Not assessed) describes the assessor's view of the answer and the evidence.</t>
  </si>
  <si>
    <t xml:space="preserve">Four risk scores</t>
  </si>
  <si>
    <t xml:space="preserve">Inherent (before vendor controls), Initial current, Verified after the follow-up, Target. Risk falls only when evidence is verified, not when the vendor promises something.</t>
  </si>
  <si>
    <t xml:space="preserve">Decision rules</t>
  </si>
  <si>
    <t xml:space="preserve">Unchanged from the initial assessment: High findings closed before go-live, Medium within 90 days, a missing mandatory contract term for a critical service counts as High.</t>
  </si>
  <si>
    <t xml:space="preserve">Not legal advice</t>
  </si>
  <si>
    <t xml:space="preserve">Regulatory references are indicative. Verify against the official texts.</t>
  </si>
  <si>
    <t xml:space="preserve">Input cell</t>
  </si>
  <si>
    <t xml:space="preserve">Yellow fill: fill this in.</t>
  </si>
  <si>
    <t xml:space="preserve">Follow-up summary</t>
  </si>
  <si>
    <t xml:space="preserve">All figures are formulas on the other sheets.</t>
  </si>
  <si>
    <t xml:space="preserve">Follow-up questions by area</t>
  </si>
  <si>
    <t xml:space="preserve">Questions</t>
  </si>
  <si>
    <t xml:space="preserve">Satisfactory</t>
  </si>
  <si>
    <t xml:space="preserve">Partial</t>
  </si>
  <si>
    <t xml:space="preserve">Gap</t>
  </si>
  <si>
    <t xml:space="preserve">Not assessed</t>
  </si>
  <si>
    <t xml:space="preserve">Identity and access management</t>
  </si>
  <si>
    <t xml:space="preserve">Data security</t>
  </si>
  <si>
    <t xml:space="preserve">Cryptography and key management</t>
  </si>
  <si>
    <t xml:space="preserve">Application security</t>
  </si>
  <si>
    <t xml:space="preserve">Cloud security</t>
  </si>
  <si>
    <t xml:space="preserve">Network security</t>
  </si>
  <si>
    <t xml:space="preserve">Third-party risk</t>
  </si>
  <si>
    <t xml:space="preserve">AI security</t>
  </si>
  <si>
    <t xml:space="preserve">Vulnerability and security testing</t>
  </si>
  <si>
    <t xml:space="preserve">Security monitoring</t>
  </si>
  <si>
    <t xml:space="preserve">Incident response</t>
  </si>
  <si>
    <t xml:space="preserve">Business continuity and disaster recovery</t>
  </si>
  <si>
    <t xml:space="preserve">Privacy</t>
  </si>
  <si>
    <t xml:space="preserve">Governance, risk and compliance</t>
  </si>
  <si>
    <t xml:space="preserve">Change and configuration management</t>
  </si>
  <si>
    <t xml:space="preserve">People security and endpoints</t>
  </si>
  <si>
    <t xml:space="preserve">Infrastructure security</t>
  </si>
  <si>
    <t xml:space="preserve">Physical security</t>
  </si>
  <si>
    <t xml:space="preserve">Total</t>
  </si>
  <si>
    <t xml:space="preserve">Vendor reply to the 65 new questions</t>
  </si>
  <si>
    <t xml:space="preserve">Full</t>
  </si>
  <si>
    <t xml:space="preserve">Declined</t>
  </si>
  <si>
    <t xml:space="preserve">No reply</t>
  </si>
  <si>
    <t xml:space="preserve">Initial findings: outcome (22)</t>
  </si>
  <si>
    <t xml:space="preserve">Closed</t>
  </si>
  <si>
    <t xml:space="preserve">Closed for go-live scope</t>
  </si>
  <si>
    <t xml:space="preserve">Risk accepted (signed)</t>
  </si>
  <si>
    <t xml:space="preserve">Partly closed</t>
  </si>
  <si>
    <t xml:space="preserve">Open</t>
  </si>
  <si>
    <t xml:space="preserve">Open (agreed, unsigned)</t>
  </si>
  <si>
    <t xml:space="preserve">Open findings by severity</t>
  </si>
  <si>
    <t xml:space="preserve">Initial</t>
  </si>
  <si>
    <t xml:space="preserve">After follow-up</t>
  </si>
  <si>
    <t xml:space="preserve">High</t>
  </si>
  <si>
    <t xml:space="preserve">Medium</t>
  </si>
  <si>
    <t xml:space="preserve">Low</t>
  </si>
  <si>
    <t xml:space="preserve">New findings in the follow-up</t>
  </si>
  <si>
    <t xml:space="preserve">Go-live conditions (10)</t>
  </si>
  <si>
    <t xml:space="preserve">Verified</t>
  </si>
  <si>
    <t xml:space="preserve">Verified with residual</t>
  </si>
  <si>
    <t xml:space="preserve">In progress</t>
  </si>
  <si>
    <t xml:space="preserve">Partly met</t>
  </si>
  <si>
    <t xml:space="preserve">Not met</t>
  </si>
  <si>
    <t xml:space="preserve">Met or met with residual</t>
  </si>
  <si>
    <t xml:space="preserve">Findings after the follow-up</t>
  </si>
  <si>
    <t xml:space="preserve">Severity after the follow-up is the verified severity: Closed means closed, avoided or accepted with sign-off. For new findings, the severity is the original rating.</t>
  </si>
  <si>
    <t xml:space="preserve">Finding</t>
  </si>
  <si>
    <t xml:space="preserve">Title</t>
  </si>
  <si>
    <t xml:space="preserve">Origin</t>
  </si>
  <si>
    <t xml:space="preserve">Severity initial</t>
  </si>
  <si>
    <t xml:space="preserve">Follow-up outcome</t>
  </si>
  <si>
    <t xml:space="preserve">Severity after the follow-up</t>
  </si>
  <si>
    <t xml:space="preserve">Evidence</t>
  </si>
  <si>
    <t xml:space="preserve">What the vendor said or what we found</t>
  </si>
  <si>
    <t xml:space="preserve">Next step</t>
  </si>
  <si>
    <t xml:space="preserve">FND-01</t>
  </si>
  <si>
    <t xml:space="preserve">Wide standing access to connector credentials</t>
  </si>
  <si>
    <t xml:space="preserve">EV-28, EV-26</t>
  </si>
  <si>
    <t xml:space="preserve">Read access limited to 3 platform security roles. Break-glass needs two-person approval.</t>
  </si>
  <si>
    <t xml:space="preserve">None</t>
  </si>
  <si>
    <t xml:space="preserve">FND-02</t>
  </si>
  <si>
    <t xml:space="preserve">Connector credentials rotated only once a year</t>
  </si>
  <si>
    <t xml:space="preserve">EV-29, EV-30</t>
  </si>
  <si>
    <t xml:space="preserve">90-day automated rotation. Revocation within 4 hours by the support desk. No self-service.</t>
  </si>
  <si>
    <t xml:space="preserve">Reassess after the second rotation (Feb 2027). The bank can disable its own HR account at once</t>
  </si>
  <si>
    <t xml:space="preserve">FND-03</t>
  </si>
  <si>
    <t xml:space="preserve">Standing support access from India with no transfer assessment</t>
  </si>
  <si>
    <t xml:space="preserve">EV-26, EV-27, EV-31</t>
  </si>
  <si>
    <t xml:space="preserve">Just-in-time access live since 9 Nov. Transfer assessment for India provided. Masking for offshore staff by 30 Apr 2027.</t>
  </si>
  <si>
    <t xml:space="preserve">Masking by 30 Apr 2027. DPO accepts the assessment with that condition</t>
  </si>
  <si>
    <t xml:space="preserve">FND-04</t>
  </si>
  <si>
    <t xml:space="preserve">Undisclosed AI model provider with US hosting</t>
  </si>
  <si>
    <t xml:space="preserve">EV-32, EV-33</t>
  </si>
  <si>
    <t xml:space="preserve">Provider named (Model Provider Z, US). Assistant disabled for the bank on 12 Nov. Full contract withheld.</t>
  </si>
  <si>
    <t xml:space="preserve">Reopen before the assistant is ever enabled</t>
  </si>
  <si>
    <t xml:space="preserve">FND-05</t>
  </si>
  <si>
    <t xml:space="preserve">Audit and inspection rights too limited</t>
  </si>
  <si>
    <t xml:space="preserve">EV-34</t>
  </si>
  <si>
    <t xml:space="preserve">Counter: two on-site audits a year with 10 working days' notice, unrestricted for regulators, pooled audits.</t>
  </si>
  <si>
    <t xml:space="preserve">Not accepted by Legal. Escalated to the risk committee</t>
  </si>
  <si>
    <t xml:space="preserve">FND-06</t>
  </si>
  <si>
    <t xml:space="preserve">Vendor's own PCI DSS attestation missing</t>
  </si>
  <si>
    <t xml:space="preserve">EV-35, EV-04</t>
  </si>
  <si>
    <t xml:space="preserve">A qualified assessor letter says the vendor is out of scope (tokens only). Card Provider Y attestation valid.</t>
  </si>
  <si>
    <t xml:space="preserve">Virtual cards can be enabled</t>
  </si>
  <si>
    <t xml:space="preserve">FND-07</t>
  </si>
  <si>
    <t xml:space="preserve">No four-eyes control on the allowance rate table</t>
  </si>
  <si>
    <t xml:space="preserve">none</t>
  </si>
  <si>
    <t xml:space="preserve">Planned for Q2 2027. Interim: a weekly change-log extract to Finance.</t>
  </si>
  <si>
    <t xml:space="preserve">Finance reviews the log weekly (BA-05) until the feature ships</t>
  </si>
  <si>
    <t xml:space="preserve">FND-08</t>
  </si>
  <si>
    <t xml:space="preserve">Assurance reports are outdated or narrow</t>
  </si>
  <si>
    <t xml:space="preserve">EV-36</t>
  </si>
  <si>
    <t xml:space="preserve">Bridge letter issued. Scope extension to visa, gifts and card modules in the 2027 audit.</t>
  </si>
  <si>
    <t xml:space="preserve">Scope extension by 31 Dec 2027</t>
  </si>
  <si>
    <t xml:space="preserve">FND-09</t>
  </si>
  <si>
    <t xml:space="preserve">No mutual TLS on bank-facing connections</t>
  </si>
  <si>
    <t xml:space="preserve">EV-37</t>
  </si>
  <si>
    <t xml:space="preserve">No mutual TLS. Private-key JWT, IP allow-list and 15-minute tokens.</t>
  </si>
  <si>
    <t xml:space="preserve">Bank IT security signed the acceptance</t>
  </si>
  <si>
    <t xml:space="preserve">FND-10</t>
  </si>
  <si>
    <t xml:space="preserve">Recovery targets not proven</t>
  </si>
  <si>
    <t xml:space="preserve">EV-38</t>
  </si>
  <si>
    <t xml:space="preserve">Test on 18 Nov: 3 hours 40 minutes against 4 hours.</t>
  </si>
  <si>
    <t xml:space="preserve">Repeat yearly</t>
  </si>
  <si>
    <t xml:space="preserve">FND-11</t>
  </si>
  <si>
    <t xml:space="preserve">Guest data kept 24 months without deletion</t>
  </si>
  <si>
    <t xml:space="preserve">EV-39</t>
  </si>
  <si>
    <t xml:space="preserve">90-day automatic deletion live from 20 Nov.</t>
  </si>
  <si>
    <t xml:space="preserve">FND-12</t>
  </si>
  <si>
    <t xml:space="preserve">Weak fourth-party notice, deletion and role classification</t>
  </si>
  <si>
    <t xml:space="preserve">EV-45</t>
  </si>
  <si>
    <t xml:space="preserve">Redline: 30-day email notice for all changes and a right to object. Visa agency retention to follow by Mar 2027.</t>
  </si>
  <si>
    <t xml:space="preserve">Sign the contract before go-live</t>
  </si>
  <si>
    <t xml:space="preserve">FND-13</t>
  </si>
  <si>
    <t xml:space="preserve">Free text not redacted from logs</t>
  </si>
  <si>
    <t xml:space="preserve">EV-40</t>
  </si>
  <si>
    <t xml:space="preserve">Redaction live from 16 Nov.</t>
  </si>
  <si>
    <t xml:space="preserve">FND-14</t>
  </si>
  <si>
    <t xml:space="preserve">Production data used in test</t>
  </si>
  <si>
    <t xml:space="preserve">EV-41</t>
  </si>
  <si>
    <t xml:space="preserve">Masked tooling live. Two months of logs show no production copies.</t>
  </si>
  <si>
    <t xml:space="preserve">Check again at the next review</t>
  </si>
  <si>
    <t xml:space="preserve">FND-15</t>
  </si>
  <si>
    <t xml:space="preserve">Exit arrangements weak</t>
  </si>
  <si>
    <t xml:space="preserve">Redline adds an insolvency clause and 24-hour credential revocation. Exit test planned for Jun 2027.</t>
  </si>
  <si>
    <t xml:space="preserve">Sign the contract. Exit test by 30 Jun 2027</t>
  </si>
  <si>
    <t xml:space="preserve">FND-16</t>
  </si>
  <si>
    <t xml:space="preserve">Slow incident notification and no assistance rate card</t>
  </si>
  <si>
    <t xml:space="preserve">EV-46</t>
  </si>
  <si>
    <t xml:space="preserve">48 hours offered. Rate card provided.</t>
  </si>
  <si>
    <t xml:space="preserve">Legal decides on 48 hours</t>
  </si>
  <si>
    <t xml:space="preserve">FND-17</t>
  </si>
  <si>
    <t xml:space="preserve">Insurer and assistance data handling</t>
  </si>
  <si>
    <t xml:space="preserve">EV-42</t>
  </si>
  <si>
    <t xml:space="preserve">Retention cut to 12 months. Alert live.</t>
  </si>
  <si>
    <t xml:space="preserve">FND-18</t>
  </si>
  <si>
    <t xml:space="preserve">Break-glass admin accounts not vaulted</t>
  </si>
  <si>
    <t xml:space="preserve">EV-43</t>
  </si>
  <si>
    <t xml:space="preserve">Vaulted with two-person approval since 10 Nov.</t>
  </si>
  <si>
    <t xml:space="preserve">FND-19</t>
  </si>
  <si>
    <t xml:space="preserve">VIP itineraries visible unmasked to support staff</t>
  </si>
  <si>
    <t xml:space="preserve">EV-44</t>
  </si>
  <si>
    <t xml:space="preserve">Masking live from 17 Nov. Tested by Bank IT.</t>
  </si>
  <si>
    <t xml:space="preserve">FND-20</t>
  </si>
  <si>
    <t xml:space="preserve">No regional hosting for non-EU staff</t>
  </si>
  <si>
    <t xml:space="preserve">No regional hosting before 2028. The bank rolls out in the EU first.</t>
  </si>
  <si>
    <t xml:space="preserve">Reopen before any non-EU rollout</t>
  </si>
  <si>
    <t xml:space="preserve">FND-21</t>
  </si>
  <si>
    <t xml:space="preserve">Invoice files not signed and no call-back on bank-detail changes</t>
  </si>
  <si>
    <t xml:space="preserve">PGP signing from Q1 2027. The bank's call-back procedure was approved (BA-01).</t>
  </si>
  <si>
    <t xml:space="preserve">Signing by 31 Mar 2027</t>
  </si>
  <si>
    <t xml:space="preserve">FND-22</t>
  </si>
  <si>
    <t xml:space="preserve">Minor gaps in loyalty, discount codes and booker access reporting</t>
  </si>
  <si>
    <t xml:space="preserve">Reports in Q2 2027.</t>
  </si>
  <si>
    <t xml:space="preserve">Track</t>
  </si>
  <si>
    <t xml:space="preserve">FND-23</t>
  </si>
  <si>
    <t xml:space="preserve">US backup replication contradicts the EU-only claim</t>
  </si>
  <si>
    <t xml:space="preserve">New</t>
  </si>
  <si>
    <t xml:space="preserve">New (open)</t>
  </si>
  <si>
    <t xml:space="preserve">EV-47, EV-66</t>
  </si>
  <si>
    <t xml:space="preserve">Cold backups replicate to a US region and have done since 2025. This contradicts claim V6 and Stage 2.</t>
  </si>
  <si>
    <t xml:space="preserve">Stop the replication, delete the US copies and confirm the archive region is in the EU, or agree a transfer mechanism and assessment.</t>
  </si>
  <si>
    <t xml:space="preserve">FND-24</t>
  </si>
  <si>
    <t xml:space="preserve">Security testing gaps</t>
  </si>
  <si>
    <t xml:space="preserve">EV-49, EV-50</t>
  </si>
  <si>
    <t xml:space="preserve">Three High scan findings are open beyond the 14-day target. Dynamic testing runs only quarterly.</t>
  </si>
  <si>
    <t xml:space="preserve">Fix High findings within 14 days, run dynamic testing monthly and report ageing.</t>
  </si>
  <si>
    <t xml:space="preserve">FND-25</t>
  </si>
  <si>
    <t xml:space="preserve">Branch protection can be bypassed</t>
  </si>
  <si>
    <t xml:space="preserve">EV-51</t>
  </si>
  <si>
    <t xml:space="preserve">Repository administrators can bypass review rules, and infrastructure code needs no second reviewer.</t>
  </si>
  <si>
    <t xml:space="preserve">Enforce the rules for administrators and require a second reviewer for infrastructure code.</t>
  </si>
  <si>
    <t xml:space="preserve">FND-26</t>
  </si>
  <si>
    <t xml:space="preserve">No software bill of materials</t>
  </si>
  <si>
    <t xml:space="preserve">EV-53</t>
  </si>
  <si>
    <t xml:space="preserve">The bill of materials is declined until Q2 2027. A top-20 library list was offered.</t>
  </si>
  <si>
    <t xml:space="preserve">Provide the bill of materials when available.</t>
  </si>
  <si>
    <t xml:space="preserve">FND-27</t>
  </si>
  <si>
    <t xml:space="preserve">Weak encryption key management</t>
  </si>
  <si>
    <t xml:space="preserve">EV-66</t>
  </si>
  <si>
    <t xml:space="preserve">Provider default keys, no customer-managed keys, key administration and use not separated, yearly rotation.</t>
  </si>
  <si>
    <t xml:space="preserve">Separate key custodians, rotate keys at least yearly with evidence, and offer customer-managed keys for the bank's sensitive data.</t>
  </si>
  <si>
    <t xml:space="preserve">FND-28</t>
  </si>
  <si>
    <t xml:space="preserve">SOC 2 exceptions and unmapped customer controls</t>
  </si>
  <si>
    <t xml:space="preserve">EV-60</t>
  </si>
  <si>
    <t xml:space="preserve">Two access-review exceptions, the cloud provider is carved out, and 14 customer controls are not yet assigned to bank owners.</t>
  </si>
  <si>
    <t xml:space="preserve">Assign the 14 customer controls to bank owners and follow up the exceptions.</t>
  </si>
  <si>
    <t xml:space="preserve">FND-29</t>
  </si>
  <si>
    <t xml:space="preserve">Incident exercise out of date</t>
  </si>
  <si>
    <t xml:space="preserve">EV-63</t>
  </si>
  <si>
    <t xml:space="preserve">The last tabletop exercise was in Mar 2025. The 2024 incident took 52 hours to notify.</t>
  </si>
  <si>
    <t xml:space="preserve">Run a joint exercise in H1 2027 and share root cause summaries.</t>
  </si>
  <si>
    <t xml:space="preserve">FND-30</t>
  </si>
  <si>
    <t xml:space="preserve">Offshore staff screening and endpoint protection</t>
  </si>
  <si>
    <t xml:space="preserve">EV-64</t>
  </si>
  <si>
    <t xml:space="preserve">Criminal checks in India are limited to five years. Support laptops have no endpoint data loss prevention, and USB is allowed at two of three sites.</t>
  </si>
  <si>
    <t xml:space="preserve">Align screening where lawful, enable endpoint protection and block USB storage on support laptops.</t>
  </si>
  <si>
    <t xml:space="preserve">FND-31</t>
  </si>
  <si>
    <t xml:space="preserve">Backup restore not tested</t>
  </si>
  <si>
    <t xml:space="preserve">EV-47</t>
  </si>
  <si>
    <t xml:space="preserve">The last restore test was in Aug 2025, and backups share the production account.</t>
  </si>
  <si>
    <t xml:space="preserve">Run a restore test and keep backups in a separate account.</t>
  </si>
  <si>
    <t xml:space="preserve">FND-32</t>
  </si>
  <si>
    <t xml:space="preserve">Liability cap far below the potential loss</t>
  </si>
  <si>
    <t xml:space="preserve">EV-61</t>
  </si>
  <si>
    <t xml:space="preserve">Cyber cover is EUR 10 million, but the contract cap is 12 months of fees (about EUR 0.4 million).</t>
  </si>
  <si>
    <t xml:space="preserve">Agree a separate higher cap for data breach and confidentiality, or confirm other cover.</t>
  </si>
  <si>
    <t xml:space="preserve">FND-33</t>
  </si>
  <si>
    <t xml:space="preserve">No public vulnerability disclosure programme</t>
  </si>
  <si>
    <t xml:space="preserve">OS-10</t>
  </si>
  <si>
    <t xml:space="preserve">No programme and no security.txt page. Planned for 2027.</t>
  </si>
  <si>
    <t xml:space="preserve">Publish a security contact page and start a disclosure programme.</t>
  </si>
  <si>
    <t xml:space="preserve">Risk register with four scores</t>
  </si>
  <si>
    <t xml:space="preserve">L = likelihood, I = impact (1 to 5). Bands: 1 to 4 Low, 5 to 9 Medium, 10 to 15 High, 16 to 25 Very high. New risks were not identified in the initial assessment.</t>
  </si>
  <si>
    <t xml:space="preserve">Inherent</t>
  </si>
  <si>
    <t xml:space="preserve">Initial current</t>
  </si>
  <si>
    <t xml:space="preserve">Verified after the follow-up</t>
  </si>
  <si>
    <t xml:space="preserve">Target</t>
  </si>
  <si>
    <t xml:space="preserve">Risk</t>
  </si>
  <si>
    <t xml:space="preserve">Risk description</t>
  </si>
  <si>
    <t xml:space="preserve">Findings</t>
  </si>
  <si>
    <t xml:space="preserve">L</t>
  </si>
  <si>
    <t xml:space="preserve">I</t>
  </si>
  <si>
    <t xml:space="preserve">Score</t>
  </si>
  <si>
    <t xml:space="preserve">Band</t>
  </si>
  <si>
    <t xml:space="preserve">Movement</t>
  </si>
  <si>
    <t xml:space="preserve">Treatment</t>
  </si>
  <si>
    <t xml:space="preserve">Owner</t>
  </si>
  <si>
    <t xml:space="preserve">RR-01</t>
  </si>
  <si>
    <t xml:space="preserve">Stolen connector credential allows bulk reading of employee data</t>
  </si>
  <si>
    <t xml:space="preserve">FND-01, FND-02, FND-09</t>
  </si>
  <si>
    <t xml:space="preserve">Mitigate</t>
  </si>
  <si>
    <t xml:space="preserve">Bank IT security</t>
  </si>
  <si>
    <t xml:space="preserve">RR-02</t>
  </si>
  <si>
    <t xml:space="preserve">Standing support access from India exposes production data</t>
  </si>
  <si>
    <t xml:space="preserve">FND-03, FND-30</t>
  </si>
  <si>
    <t xml:space="preserve">Bank DPO and TPRM</t>
  </si>
  <si>
    <t xml:space="preserve">RR-03</t>
  </si>
  <si>
    <t xml:space="preserve">Personal data reaches an undisclosed AI provider in the US</t>
  </si>
  <si>
    <t xml:space="preserve">Avoided (feature off)</t>
  </si>
  <si>
    <t xml:space="preserve">Bank TPRM</t>
  </si>
  <si>
    <t xml:space="preserve">RR-04</t>
  </si>
  <si>
    <t xml:space="preserve">Fraudulent or altered invoice reaches the ERP</t>
  </si>
  <si>
    <t xml:space="preserve">Bank Finance</t>
  </si>
  <si>
    <t xml:space="preserve">RR-05</t>
  </si>
  <si>
    <t xml:space="preserve">Fraudulent allowance payments through rate-table changes</t>
  </si>
  <si>
    <t xml:space="preserve">Mitigate (interim review)</t>
  </si>
  <si>
    <t xml:space="preserve">RR-06</t>
  </si>
  <si>
    <t xml:space="preserve">Card misuse or PCI non-compliance</t>
  </si>
  <si>
    <t xml:space="preserve">Mitigated</t>
  </si>
  <si>
    <t xml:space="preserve">Bank Finance and TPRM</t>
  </si>
  <si>
    <t xml:space="preserve">RR-07</t>
  </si>
  <si>
    <t xml:space="preserve">Outage or slow recovery of the platform</t>
  </si>
  <si>
    <t xml:space="preserve">FND-10, FND-31</t>
  </si>
  <si>
    <t xml:space="preserve">RR-08</t>
  </si>
  <si>
    <t xml:space="preserve">Late breach notice, costly incident assistance and a low liability cap</t>
  </si>
  <si>
    <t xml:space="preserve">FND-16, FND-29, FND-32</t>
  </si>
  <si>
    <t xml:space="preserve">Transfer (contract) and mitigate</t>
  </si>
  <si>
    <t xml:space="preserve">Bank Legal</t>
  </si>
  <si>
    <t xml:space="preserve">RR-09</t>
  </si>
  <si>
    <t xml:space="preserve">Excess retention and exposure of guest, log and test data</t>
  </si>
  <si>
    <t xml:space="preserve">FND-11, FND-13, FND-14</t>
  </si>
  <si>
    <t xml:space="preserve">Bank DPO</t>
  </si>
  <si>
    <t xml:space="preserve">RR-10</t>
  </si>
  <si>
    <t xml:space="preserve">Unseen fourth parties and late notice of change</t>
  </si>
  <si>
    <t xml:space="preserve">RR-11</t>
  </si>
  <si>
    <t xml:space="preserve">No effective audit or exit rights for a critical service</t>
  </si>
  <si>
    <t xml:space="preserve">FND-05, FND-15</t>
  </si>
  <si>
    <t xml:space="preserve">Bank Legal and Procurement</t>
  </si>
  <si>
    <t xml:space="preserve">RR-12</t>
  </si>
  <si>
    <t xml:space="preserve">Reliance on outdated or narrow assurance reports</t>
  </si>
  <si>
    <t xml:space="preserve">FND-08, FND-28</t>
  </si>
  <si>
    <t xml:space="preserve">RR-13</t>
  </si>
  <si>
    <t xml:space="preserve">Leak of executive itineraries</t>
  </si>
  <si>
    <t xml:space="preserve">RR-14</t>
  </si>
  <si>
    <t xml:space="preserve">Takeover of vendor break-glass admin accounts</t>
  </si>
  <si>
    <t xml:space="preserve">RR-15</t>
  </si>
  <si>
    <t xml:space="preserve">Non-compliance with local rules outside the EU</t>
  </si>
  <si>
    <t xml:space="preserve">Avoided (EU first)</t>
  </si>
  <si>
    <t xml:space="preserve">Bank DPO and Compliance</t>
  </si>
  <si>
    <t xml:space="preserve">RR-16</t>
  </si>
  <si>
    <t xml:space="preserve">Insurer and assistance data kept too long or interface fails</t>
  </si>
  <si>
    <t xml:space="preserve">HR benefits</t>
  </si>
  <si>
    <t xml:space="preserve">RR-17</t>
  </si>
  <si>
    <t xml:space="preserve">Minor misuse of loyalty data, discount codes or booker accounts</t>
  </si>
  <si>
    <t xml:space="preserve">Accept</t>
  </si>
  <si>
    <t xml:space="preserve">Bank HR</t>
  </si>
  <si>
    <t xml:space="preserve">RR-18</t>
  </si>
  <si>
    <t xml:space="preserve">Personal data stored outside the EU through US backup replication</t>
  </si>
  <si>
    <t xml:space="preserve">Mitigate (new, High)</t>
  </si>
  <si>
    <t xml:space="preserve">RR-19</t>
  </si>
  <si>
    <t xml:space="preserve">Application vulnerability reaches production through weak development controls</t>
  </si>
  <si>
    <t xml:space="preserve">FND-24, FND-25, FND-26, FND-33</t>
  </si>
  <si>
    <t xml:space="preserve">Mitigate (new)</t>
  </si>
  <si>
    <t xml:space="preserve">RR-20</t>
  </si>
  <si>
    <t xml:space="preserve">Encryption keys weakly protected</t>
  </si>
  <si>
    <t xml:space="preserve">RR-21</t>
  </si>
  <si>
    <t xml:space="preserve">Misuse or data leakage by offshore support staff</t>
  </si>
  <si>
    <t xml:space="preserve">Risks by band (all rows)</t>
  </si>
  <si>
    <t xml:space="preserve">Follow-up</t>
  </si>
  <si>
    <t xml:space="preserve">Very high</t>
  </si>
  <si>
    <t xml:space="preserve">Existing 17 risks only (same population in the initial assessment and the follow-up)</t>
  </si>
  <si>
    <t xml:space="preserve">Go-live conditions after the follow-up</t>
  </si>
  <si>
    <t xml:space="preserve">Action</t>
  </si>
  <si>
    <t xml:space="preserve">Condition (due before go-live)</t>
  </si>
  <si>
    <t xml:space="preserve">Status</t>
  </si>
  <si>
    <t xml:space="preserve">Residual or next step</t>
  </si>
  <si>
    <t xml:space="preserve">Due</t>
  </si>
  <si>
    <t xml:space="preserve">REM-01</t>
  </si>
  <si>
    <t xml:space="preserve">Secret read access limited to named roles, with approval and logging</t>
  </si>
  <si>
    <t xml:space="preserve">Vendor X</t>
  </si>
  <si>
    <t xml:space="preserve">15 Jan 2027</t>
  </si>
  <si>
    <t xml:space="preserve">REM-02</t>
  </si>
  <si>
    <t xml:space="preserve">Credentials rotate at least every 90 days and the bank can revoke them</t>
  </si>
  <si>
    <t xml:space="preserve">No self-service revoke. Vendor revokes in 4 hours. Reassess Feb 2027</t>
  </si>
  <si>
    <t xml:space="preserve">REM-03</t>
  </si>
  <si>
    <t xml:space="preserve">Just-in-time production access, masked data offshore, transfer assessment</t>
  </si>
  <si>
    <t xml:space="preserve">Masking by 30 Apr 2027</t>
  </si>
  <si>
    <t xml:space="preserve">Vendor X and Bank DPO</t>
  </si>
  <si>
    <t xml:space="preserve">REM-05</t>
  </si>
  <si>
    <t xml:space="preserve">Unrestricted audit, access and inspection rights in the contract</t>
  </si>
  <si>
    <t xml:space="preserve">Vendor counter is not unrestricted. Risk committee decision</t>
  </si>
  <si>
    <t xml:space="preserve">REM-08</t>
  </si>
  <si>
    <t xml:space="preserve">SOC 2 bridge letter</t>
  </si>
  <si>
    <t xml:space="preserve">REM-12</t>
  </si>
  <si>
    <t xml:space="preserve">Notice and a right to object for every subprocessor change</t>
  </si>
  <si>
    <t xml:space="preserve">Agreed in the redline, not signed</t>
  </si>
  <si>
    <t xml:space="preserve">REM-15</t>
  </si>
  <si>
    <t xml:space="preserve">Insolvency and data-return clause, credentials revoked within 24 hours of the end</t>
  </si>
  <si>
    <t xml:space="preserve">Agreed in the redline, not signed. Exit test by 30 Jun 2027</t>
  </si>
  <si>
    <t xml:space="preserve">REM-16</t>
  </si>
  <si>
    <t xml:space="preserve">Incident notice within 24 hours and an assistance rate card</t>
  </si>
  <si>
    <t xml:space="preserve">48 hours offered. Legal decides</t>
  </si>
  <si>
    <t xml:space="preserve">REM-23</t>
  </si>
  <si>
    <t xml:space="preserve">No data stored outside the EU (new High)</t>
  </si>
  <si>
    <t xml:space="preserve">Vendor committed to delete by 15 Dec 2026. Evidence pending</t>
  </si>
  <si>
    <t xml:space="preserve">REM-32</t>
  </si>
  <si>
    <t xml:space="preserve">Liability cap aligned with the potential loss (new)</t>
  </si>
  <si>
    <t xml:space="preserve">Negotiating a higher cap for data breach</t>
  </si>
  <si>
    <t xml:space="preserve">Feature gates</t>
  </si>
  <si>
    <t xml:space="preserve">Feature</t>
  </si>
  <si>
    <t xml:space="preserve">Note</t>
  </si>
  <si>
    <t xml:space="preserve">REM-04</t>
  </si>
  <si>
    <t xml:space="preserve">AI assistant stays off for the bank</t>
  </si>
  <si>
    <t xml:space="preserve">Verified (feature off)</t>
  </si>
  <si>
    <t xml:space="preserve">EV-32</t>
  </si>
  <si>
    <t xml:space="preserve">Reopen FND-04 before any enabling</t>
  </si>
  <si>
    <t xml:space="preserve">REM-06</t>
  </si>
  <si>
    <t xml:space="preserve">Virtual cards</t>
  </si>
  <si>
    <t xml:space="preserve">Verified (can be enabled)</t>
  </si>
  <si>
    <t xml:space="preserve">Qualified assessor letter accepted</t>
  </si>
  <si>
    <t xml:space="preserve">New remediation actions from the follow-up</t>
  </si>
  <si>
    <t xml:space="preserve">Severity</t>
  </si>
  <si>
    <t xml:space="preserve">Type</t>
  </si>
  <si>
    <t xml:space="preserve">Evidence to verify</t>
  </si>
  <si>
    <t xml:space="preserve">Stop replication to the US archive, delete existing US copies and provide a deletion certificate. The vendor's own target is 15 Dec 2026.</t>
  </si>
  <si>
    <t xml:space="preserve">Vendor X, verified by Bank DPO</t>
  </si>
  <si>
    <t xml:space="preserve">Pre-go-live</t>
  </si>
  <si>
    <t xml:space="preserve">Deletion certificate and a new region diagram</t>
  </si>
  <si>
    <t xml:space="preserve">REM-24</t>
  </si>
  <si>
    <t xml:space="preserve">Fix High scan findings within 14 days, run dynamic testing monthly and report ageing.</t>
  </si>
  <si>
    <t xml:space="preserve">30 Apr 2027</t>
  </si>
  <si>
    <t xml:space="preserve">Within 90 days</t>
  </si>
  <si>
    <t xml:space="preserve">Scan summaries</t>
  </si>
  <si>
    <t xml:space="preserve">REM-25</t>
  </si>
  <si>
    <t xml:space="preserve">Enforce branch protection for administrators and add a second reviewer for infrastructure code.</t>
  </si>
  <si>
    <t xml:space="preserve">Rule screenshots</t>
  </si>
  <si>
    <t xml:space="preserve">REM-26</t>
  </si>
  <si>
    <t xml:space="preserve">Provide the software bill of materials when available.</t>
  </si>
  <si>
    <t xml:space="preserve">30 Jun 2027</t>
  </si>
  <si>
    <t xml:space="preserve">Bill of materials</t>
  </si>
  <si>
    <t xml:space="preserve">REM-27</t>
  </si>
  <si>
    <t xml:space="preserve">Separate key custodians, rotate keys at least yearly and offer customer-managed keys.</t>
  </si>
  <si>
    <t xml:space="preserve">Key policy and rotation log</t>
  </si>
  <si>
    <t xml:space="preserve">REM-28</t>
  </si>
  <si>
    <t xml:space="preserve">Assign the 14 customer controls to bank owners and follow up the SOC 2 exceptions.</t>
  </si>
  <si>
    <t xml:space="preserve">Bank TPRM and Vendor X</t>
  </si>
  <si>
    <t xml:space="preserve">Control ownership list</t>
  </si>
  <si>
    <t xml:space="preserve">REM-29</t>
  </si>
  <si>
    <t xml:space="preserve">Run a joint incident exercise and share root cause summaries.</t>
  </si>
  <si>
    <t xml:space="preserve">Vendor X and Bank TPRM</t>
  </si>
  <si>
    <t xml:space="preserve">Exercise report</t>
  </si>
  <si>
    <t xml:space="preserve">REM-30</t>
  </si>
  <si>
    <t xml:space="preserve">Align offshore screening where lawful, enable endpoint protection and block USB storage on support laptops.</t>
  </si>
  <si>
    <t xml:space="preserve">Policy and endpoint report</t>
  </si>
  <si>
    <t xml:space="preserve">REM-31</t>
  </si>
  <si>
    <t xml:space="preserve">Run a restore test and move backups to a separate account.</t>
  </si>
  <si>
    <t xml:space="preserve">Restore test record</t>
  </si>
  <si>
    <t xml:space="preserve">Agree a separate higher cap for data breach and confidentiality in the contract.</t>
  </si>
  <si>
    <t xml:space="preserve">Signed contract clause</t>
  </si>
  <si>
    <t xml:space="preserve">REM-33</t>
  </si>
  <si>
    <t xml:space="preserve">31 Jul 2027</t>
  </si>
  <si>
    <t xml:space="preserve">Public page</t>
  </si>
  <si>
    <t xml:space="preserve">Follow-up questions and vendor replies (simulated)</t>
  </si>
  <si>
    <t xml:space="preserve">ID</t>
  </si>
  <si>
    <t xml:space="preserve">Area</t>
  </si>
  <si>
    <t xml:space="preserve">Question</t>
  </si>
  <si>
    <t xml:space="preserve">Priority</t>
  </si>
  <si>
    <t xml:space="preserve">Asked by</t>
  </si>
  <si>
    <t xml:space="preserve">Linked to</t>
  </si>
  <si>
    <t xml:space="preserve">Control</t>
  </si>
  <si>
    <t xml:space="preserve">Evidence to request</t>
  </si>
  <si>
    <t xml:space="preserve">Vendor reply (simulated)</t>
  </si>
  <si>
    <t xml:space="preserve">Reply</t>
  </si>
  <si>
    <t xml:space="preserve">Rating</t>
  </si>
  <si>
    <t xml:space="preserve">Assessor notes</t>
  </si>
  <si>
    <t xml:space="preserve">FU-IAM-01</t>
  </si>
  <si>
    <t xml:space="preserve">How is privileged access to production systems granted (just-in-time, approval, expiry), and how long can a privileged session last?</t>
  </si>
  <si>
    <t xml:space="preserve">Must</t>
  </si>
  <si>
    <t xml:space="preserve">IT security</t>
  </si>
  <si>
    <t xml:space="preserve">CR-09</t>
  </si>
  <si>
    <t xml:space="preserve">Privileged access tool configuration; 30-day access log</t>
  </si>
  <si>
    <t xml:space="preserve">All production access goes through a privileged access tool. Requests need team-lead approval, expire after 4 hours and are recorded. Standing access was removed on 9 Nov 2026.</t>
  </si>
  <si>
    <t xml:space="preserve">EV-26, EV-27. 30-day log shows no standing sessions. Closes part of FND-03.</t>
  </si>
  <si>
    <t xml:space="preserve">FU-IAM-02</t>
  </si>
  <si>
    <t xml:space="preserve">Provide the privileged account inventory and the date of the last privileged access review.</t>
  </si>
  <si>
    <t xml:space="preserve">Analyst</t>
  </si>
  <si>
    <t xml:space="preserve">Account inventory; review record</t>
  </si>
  <si>
    <t xml:space="preserve">Inventory of 41 privileged accounts. Last review on 30 Sep 2026, three accounts removed.</t>
  </si>
  <si>
    <t xml:space="preserve">EV-26.</t>
  </si>
  <si>
    <t xml:space="preserve">FU-IAM-03</t>
  </si>
  <si>
    <t xml:space="preserve">How are service accounts and API keys inventoried, owned and rotated? Which belong to the bank's connector?</t>
  </si>
  <si>
    <t xml:space="preserve">CR-04</t>
  </si>
  <si>
    <t xml:space="preserve">Service-account inventory; rotation logs</t>
  </si>
  <si>
    <t xml:space="preserve">Inventory with owners provided. Connector keys now rotate every 90 days by an automated job. The first rotation ran on 14 Nov 2026.</t>
  </si>
  <si>
    <t xml:space="preserve">EV-29.</t>
  </si>
  <si>
    <t xml:space="preserve">FU-IAM-04</t>
  </si>
  <si>
    <t xml:space="preserve">Can the bank revoke the connector's credentials itself, and how fast can the vendor revoke on request?</t>
  </si>
  <si>
    <t xml:space="preserve">Revocation test record</t>
  </si>
  <si>
    <t xml:space="preserve">No self-service revoke. The 24/7 support desk revokes within 4 hours. Tested on 19 Nov: 2 hours 10 minutes.</t>
  </si>
  <si>
    <t xml:space="preserve">EV-30. The bank can disable its own HR service account at once, which is accepted as a compensating control.</t>
  </si>
  <si>
    <t xml:space="preserve">FU-IAM-05</t>
  </si>
  <si>
    <t xml:space="preserve">How is segregation of duties enforced for vendor staff who can both deploy code and access production data?</t>
  </si>
  <si>
    <t xml:space="preserve">Should</t>
  </si>
  <si>
    <t xml:space="preserve">TPRM lead</t>
  </si>
  <si>
    <t xml:space="preserve">new</t>
  </si>
  <si>
    <t xml:space="preserve">Segregation matrix; approved exceptions</t>
  </si>
  <si>
    <t xml:space="preserve">Matrix provided. Two on-call engineer roles overlap, with an approved exception and extra logging.</t>
  </si>
  <si>
    <t xml:space="preserve">EV-26. Exception approved by the vendor's security head. Sample reviewed.</t>
  </si>
  <si>
    <t xml:space="preserve">FU-DAT-01</t>
  </si>
  <si>
    <t xml:space="preserve">Provide the data classification scheme and show how passport data and executive itineraries are labelled and handled.</t>
  </si>
  <si>
    <t xml:space="preserve">DPO</t>
  </si>
  <si>
    <t xml:space="preserve">D2, D4</t>
  </si>
  <si>
    <t xml:space="preserve">CR-12</t>
  </si>
  <si>
    <t xml:space="preserve">Classification scheme; handling rules</t>
  </si>
  <si>
    <t xml:space="preserve">Four levels. Passport numbers are Restricted with field-level encryption. Executive itineraries are Confidential with restricted visibility.</t>
  </si>
  <si>
    <t xml:space="preserve">EV-66.</t>
  </si>
  <si>
    <t xml:space="preserve">FU-DAT-02</t>
  </si>
  <si>
    <t xml:space="preserve">Provide the record of where each data type is stored and processed, including every location of backups and replicas.</t>
  </si>
  <si>
    <t xml:space="preserve">V6</t>
  </si>
  <si>
    <t xml:space="preserve">CR-14</t>
  </si>
  <si>
    <t xml:space="preserve">Data inventory; storage regions</t>
  </si>
  <si>
    <t xml:space="preserve">Inventory provided. Production runs in two EU regions. Cold-archive backups replicate to a US region for long-term retention.</t>
  </si>
  <si>
    <t xml:space="preserve">EV-47. Contradicts the EU-only claim V6. New finding FND-23 (High).</t>
  </si>
  <si>
    <t xml:space="preserve">FU-DAT-03</t>
  </si>
  <si>
    <t xml:space="preserve">How are backups and snapshots encrypted, and who can restore them?</t>
  </si>
  <si>
    <t xml:space="preserve">CR-31</t>
  </si>
  <si>
    <t xml:space="preserve">Backup encryption configuration; restore rights</t>
  </si>
  <si>
    <t xml:space="preserve">AES-256 with provider-managed keys. Restore limited to five named engineers, with approval.</t>
  </si>
  <si>
    <t xml:space="preserve">EV-47. Key management weakness, see FND-27.</t>
  </si>
  <si>
    <t xml:space="preserve">FU-DAT-04</t>
  </si>
  <si>
    <t xml:space="preserve">How do you stop personal data leaving through endpoints and email (data loss prevention)?</t>
  </si>
  <si>
    <t xml:space="preserve">If applicable</t>
  </si>
  <si>
    <t xml:space="preserve">CR-32</t>
  </si>
  <si>
    <t xml:space="preserve">DLP configuration; device policies</t>
  </si>
  <si>
    <t xml:space="preserve">DLP covers corporate email and cloud storage. Offshore support laptops have no endpoint DLP, and USB storage is allowed at two of three support sites.</t>
  </si>
  <si>
    <t xml:space="preserve">EV-64. See FND-30.</t>
  </si>
  <si>
    <t xml:space="preserve">FU-CRY-01</t>
  </si>
  <si>
    <t xml:space="preserve">Who manages the encryption keys for databases and backups, and can the bank use its own keys?</t>
  </si>
  <si>
    <t xml:space="preserve">Key management description</t>
  </si>
  <si>
    <t xml:space="preserve">Provider default keys in the cloud provider's key service. Customer-managed keys are not offered.</t>
  </si>
  <si>
    <t xml:space="preserve">EV-66. See FND-27.</t>
  </si>
  <si>
    <t xml:space="preserve">FU-CRY-02</t>
  </si>
  <si>
    <t xml:space="preserve">How are key custodians separated, and how often are keys rotated and revoked?</t>
  </si>
  <si>
    <t xml:space="preserve">Key policy; rotation log</t>
  </si>
  <si>
    <t xml:space="preserve">Key administration and key use sit with the same platform team. Rotation is yearly.</t>
  </si>
  <si>
    <t xml:space="preserve">EV-66. Fails the separation requirement. See FND-27.</t>
  </si>
  <si>
    <t xml:space="preserve">FU-CRY-03</t>
  </si>
  <si>
    <t xml:space="preserve">Provide the TLS configuration for public endpoints and for connections to the database and to fourth parties.</t>
  </si>
  <si>
    <t xml:space="preserve">CR-13</t>
  </si>
  <si>
    <t xml:space="preserve">TLS configuration summary</t>
  </si>
  <si>
    <t xml:space="preserve">Public endpoints: TLS 1.2 and 1.3 only, HSTS, no weak ciphers. Database connections use TLS 1.2. Supplier links use TLS 1.2 or higher.</t>
  </si>
  <si>
    <t xml:space="preserve">EV-66. Matches the bank's outside-in scan (OS-02).</t>
  </si>
  <si>
    <t xml:space="preserve">FU-APP-01</t>
  </si>
  <si>
    <t xml:space="preserve">Provide the secure development policy and a process diagram showing where security checks occur.</t>
  </si>
  <si>
    <t xml:space="preserve">CR-29</t>
  </si>
  <si>
    <t xml:space="preserve">Policy; process diagram</t>
  </si>
  <si>
    <t xml:space="preserve">Policy v4.2 and a pipeline diagram provided.</t>
  </si>
  <si>
    <t xml:space="preserve">EV-48.</t>
  </si>
  <si>
    <t xml:space="preserve">FU-APP-02</t>
  </si>
  <si>
    <t xml:space="preserve">Provide the latest static analysis and dependency scan summaries for the platform and the connector, with open High findings and their age.</t>
  </si>
  <si>
    <t xml:space="preserve">Scan summaries (SAST, SCA)</t>
  </si>
  <si>
    <t xml:space="preserve">Scans run on every merge. Three High findings are open for 21, 25 and 40 days against a 14-day target.</t>
  </si>
  <si>
    <t xml:space="preserve">EV-49. See FND-24.</t>
  </si>
  <si>
    <t xml:space="preserve">FU-APP-03</t>
  </si>
  <si>
    <t xml:space="preserve">How often is dynamic testing (DAST) run against a staging environment, and what were the last results?</t>
  </si>
  <si>
    <t xml:space="preserve">DAST summary</t>
  </si>
  <si>
    <t xml:space="preserve">Quarterly. The last run was on 4 Oct 2026 with two Medium findings.</t>
  </si>
  <si>
    <t xml:space="preserve">EV-50. See FND-24.</t>
  </si>
  <si>
    <t xml:space="preserve">FU-APP-04</t>
  </si>
  <si>
    <t xml:space="preserve">Show the branch protection and code review rules for production and infrastructure repositories.</t>
  </si>
  <si>
    <t xml:space="preserve">Branch protection screenshots</t>
  </si>
  <si>
    <t xml:space="preserve">One reviewer and passing checks are required. Repository administrators can bypass the rules. Infrastructure code needs no second reviewer.</t>
  </si>
  <si>
    <t xml:space="preserve">EV-51. See FND-25.</t>
  </si>
  <si>
    <t xml:space="preserve">FU-APP-05</t>
  </si>
  <si>
    <t xml:space="preserve">Is automated secret scanning run on code repositories, and how are leaked secrets handled?</t>
  </si>
  <si>
    <t xml:space="preserve">V7</t>
  </si>
  <si>
    <t xml:space="preserve">Scanner configuration; incident records</t>
  </si>
  <si>
    <t xml:space="preserve">Scanning with blocking on all repositories. Two secrets were found in 2026 and both were rotated within 24 hours.</t>
  </si>
  <si>
    <t xml:space="preserve">EV-52.</t>
  </si>
  <si>
    <t xml:space="preserve">FU-APP-06</t>
  </si>
  <si>
    <t xml:space="preserve">Provide the software bill of materials, or the list of critical third-party libraries, for the connector and platform.</t>
  </si>
  <si>
    <t xml:space="preserve">Bill of materials or library list</t>
  </si>
  <si>
    <t xml:space="preserve">Declined until Q2 2027. A list of the top 20 libraries with versions and licences was offered instead.</t>
  </si>
  <si>
    <t xml:space="preserve">EV-53. See FND-26 (Low).</t>
  </si>
  <si>
    <t xml:space="preserve">FU-APP-07</t>
  </si>
  <si>
    <t xml:space="preserve">Has a threat model been done for the connector and the support access path, and when was it last updated?</t>
  </si>
  <si>
    <t xml:space="preserve">Threat model summary</t>
  </si>
  <si>
    <t xml:space="preserve">Connector threat model (STRIDE) from Mar 2026. None for the support access path.</t>
  </si>
  <si>
    <t xml:space="preserve">FU-CLD-01</t>
  </si>
  <si>
    <t xml:space="preserve">Provide the shared-responsibility matrix between the vendor and its cloud provider.</t>
  </si>
  <si>
    <t xml:space="preserve">CR-30</t>
  </si>
  <si>
    <t xml:space="preserve">Responsibility matrix</t>
  </si>
  <si>
    <t xml:space="preserve">Matrix provided. The vendor owns configuration, identity and data protection.</t>
  </si>
  <si>
    <t xml:space="preserve">EV-54.</t>
  </si>
  <si>
    <t xml:space="preserve">FU-CLD-02</t>
  </si>
  <si>
    <t xml:space="preserve">How is cloud configuration monitored for drift and misconfiguration (posture management)?</t>
  </si>
  <si>
    <t xml:space="preserve">Posture report</t>
  </si>
  <si>
    <t xml:space="preserve">Daily posture scans. 97 percent of checks pass, four Medium items open.</t>
  </si>
  <si>
    <t xml:space="preserve">FU-CLD-03</t>
  </si>
  <si>
    <t xml:space="preserve">Describe production, standby and backup regions, with a diagram of data replication between them.</t>
  </si>
  <si>
    <t xml:space="preserve">CR-14, CR-30</t>
  </si>
  <si>
    <t xml:space="preserve">Region and replication diagram</t>
  </si>
  <si>
    <t xml:space="preserve">The diagram shows two EU regions and a US archive region for cold backups, with a replication job running since 2025.</t>
  </si>
  <si>
    <t xml:space="preserve">EV-47, EV-66. FND-23.</t>
  </si>
  <si>
    <t xml:space="preserve">FU-CLD-04</t>
  </si>
  <si>
    <t xml:space="preserve">How are production, staging and development environments separated, and who can access each?</t>
  </si>
  <si>
    <t xml:space="preserve">V10</t>
  </si>
  <si>
    <t xml:space="preserve">Environment separation description</t>
  </si>
  <si>
    <t xml:space="preserve">Separate cloud accounts per environment. Production access only through the privileged access tool.</t>
  </si>
  <si>
    <t xml:space="preserve">FU-NET-01</t>
  </si>
  <si>
    <t xml:space="preserve">Provide the network segmentation design: separation of web, application and database tiers, and administrative access.</t>
  </si>
  <si>
    <t xml:space="preserve">Segmentation diagram; rule summary</t>
  </si>
  <si>
    <t xml:space="preserve">Three-tier network with default-deny rules. Diagram and rule summaries provided.</t>
  </si>
  <si>
    <t xml:space="preserve">EV-55.</t>
  </si>
  <si>
    <t xml:space="preserve">FU-NET-02</t>
  </si>
  <si>
    <t xml:space="preserve">Which perimeter controls protect public endpoints (web application firewall, DDoS protection, API gateway, rate limits)?</t>
  </si>
  <si>
    <t xml:space="preserve">Configuration summary</t>
  </si>
  <si>
    <t xml:space="preserve">Web application firewall with managed rules, provider DDoS protection, an API gateway with rate limits.</t>
  </si>
  <si>
    <t xml:space="preserve">EV-56.</t>
  </si>
  <si>
    <t xml:space="preserve">FU-NET-03</t>
  </si>
  <si>
    <t xml:space="preserve">How is outbound traffic from production restricted to approved destinations?</t>
  </si>
  <si>
    <t xml:space="preserve">Egress rules</t>
  </si>
  <si>
    <t xml:space="preserve">Outbound traffic leaves through a NAT gateway with an allow-list for fourth parties, reviewed twice a year.</t>
  </si>
  <si>
    <t xml:space="preserve">FU-TPR-01</t>
  </si>
  <si>
    <t xml:space="preserve">How do you assess your own suppliers (security review, questionnaire, reassessment), and how often?</t>
  </si>
  <si>
    <t xml:space="preserve">CR-16</t>
  </si>
  <si>
    <t xml:space="preserve">Supplier assessment procedure</t>
  </si>
  <si>
    <t xml:space="preserve">Tiered review at onboarding and yearly for critical suppliers (hosting, card, assistance). The AI provider was reviewed in Jun 2026 as a summary only.</t>
  </si>
  <si>
    <t xml:space="preserve">EV-57.</t>
  </si>
  <si>
    <t xml:space="preserve">FU-TPR-02</t>
  </si>
  <si>
    <t xml:space="preserve">Which suppliers receive personal data from the bank's tenant, and what contract terms flow down to them?</t>
  </si>
  <si>
    <t xml:space="preserve">FND-04, FND-12</t>
  </si>
  <si>
    <t xml:space="preserve">Supplier register; flow-down terms</t>
  </si>
  <si>
    <t xml:space="preserve">Register updated to 11 suppliers, including the AI model provider. Standard flow-down terms. Visa agency amendment planned for Mar 2027.</t>
  </si>
  <si>
    <t xml:space="preserve">EV-57. FP11 confirmed.</t>
  </si>
  <si>
    <t xml:space="preserve">FU-TPR-03</t>
  </si>
  <si>
    <t xml:space="preserve">What is your concentration exposure to your cloud provider, and what is the plan if it fails?</t>
  </si>
  <si>
    <t xml:space="preserve">Concentration statement; exit plan</t>
  </si>
  <si>
    <t xml:space="preserve">One cloud provider, two regions. No multi-cloud plan.</t>
  </si>
  <si>
    <t xml:space="preserve">Accepted as a known dependency. Recorded in the register.</t>
  </si>
  <si>
    <t xml:space="preserve">FU-TPR-04</t>
  </si>
  <si>
    <t xml:space="preserve">Provide your last two supplier incident notifications and how you responded.</t>
  </si>
  <si>
    <t xml:space="preserve">Incident records</t>
  </si>
  <si>
    <t xml:space="preserve">No reply.</t>
  </si>
  <si>
    <t xml:space="preserve">Not chased: if applicable and low priority.</t>
  </si>
  <si>
    <t xml:space="preserve">FU-AIS-01</t>
  </si>
  <si>
    <t xml:space="preserve">Name the AI model provider and its hosting region, and provide the contract and data processing terms for the bank's use case.</t>
  </si>
  <si>
    <t xml:space="preserve">CR-28</t>
  </si>
  <si>
    <t xml:space="preserve">Provider name; contract excerpt</t>
  </si>
  <si>
    <t xml:space="preserve">Model Provider Z, hosted in the US. A data processing excerpt was provided. The full contract is withheld as confidential.</t>
  </si>
  <si>
    <t xml:space="preserve">EV-33.</t>
  </si>
  <si>
    <t xml:space="preserve">FU-AIS-02</t>
  </si>
  <si>
    <t xml:space="preserve">Show that the AI assistant can be switched off for the bank's tenant, and demonstrate it.</t>
  </si>
  <si>
    <t xml:space="preserve">Configuration; test session</t>
  </si>
  <si>
    <t xml:space="preserve">Tenant-level switch. Turned off on 12 Nov 2026. A test session shows the assistant hidden and no calls to the provider.</t>
  </si>
  <si>
    <t xml:space="preserve">EV-32. Observed by Bank IT.</t>
  </si>
  <si>
    <t xml:space="preserve">FU-AIS-03</t>
  </si>
  <si>
    <t xml:space="preserve">How are prompts and outputs logged, masked and retained, and does free text with personal data reach the provider?</t>
  </si>
  <si>
    <t xml:space="preserve">Prompt handling description</t>
  </si>
  <si>
    <t xml:space="preserve">Prompts are logged for 30 days. Names and emails are masked. Free text is not.</t>
  </si>
  <si>
    <t xml:space="preserve">EV-58. Weak evidence (statement). The feature stays off.</t>
  </si>
  <si>
    <t xml:space="preserve">FU-AIS-04</t>
  </si>
  <si>
    <t xml:space="preserve">How are prompt injection and data leakage tested, and how is the feature classified under the EU AI Act?</t>
  </si>
  <si>
    <t xml:space="preserve">Compliance</t>
  </si>
  <si>
    <t xml:space="preserve">Test summary; classification note</t>
  </si>
  <si>
    <t xml:space="preserve">Internal red-team exercise in Jul 2026. Self-assessed as limited risk with a transparency notice.</t>
  </si>
  <si>
    <t xml:space="preserve">EV-58. To be checked by Compliance.</t>
  </si>
  <si>
    <t xml:space="preserve">FU-VUL-01</t>
  </si>
  <si>
    <t xml:space="preserve">Provide vulnerability scan coverage and patch deadlines, with the number of open Critical and High items.</t>
  </si>
  <si>
    <t xml:space="preserve">L3</t>
  </si>
  <si>
    <t xml:space="preserve">CR-23</t>
  </si>
  <si>
    <t xml:space="preserve">Scan summary</t>
  </si>
  <si>
    <t xml:space="preserve">Weekly scans on all hosts. Targets: Critical 7 days, High 30 days. 0 Critical and 6 High open, 2 beyond target.</t>
  </si>
  <si>
    <t xml:space="preserve">EV-49.</t>
  </si>
  <si>
    <t xml:space="preserve">FU-VUL-02</t>
  </si>
  <si>
    <t xml:space="preserve">Provide the full penetration test report or the retest letter confirming the High findings were fixed.</t>
  </si>
  <si>
    <t xml:space="preserve">EV-03</t>
  </si>
  <si>
    <t xml:space="preserve">Retest letter</t>
  </si>
  <si>
    <t xml:space="preserve">The retest letter confirms both High findings were fixed on 22 Jul 2026. The full report is available on site under NDA.</t>
  </si>
  <si>
    <t xml:space="preserve">EV-59.</t>
  </si>
  <si>
    <t xml:space="preserve">FU-VUL-03</t>
  </si>
  <si>
    <t xml:space="preserve">Do you run a vulnerability disclosure programme or bug bounty, and is there a security contact page?</t>
  </si>
  <si>
    <t xml:space="preserve">Public page; programme details</t>
  </si>
  <si>
    <t xml:space="preserve">No programme and no security.txt. Planned for 2027.</t>
  </si>
  <si>
    <t xml:space="preserve">Confirmed by the outside-in check OS-10. See FND-33 (Low).</t>
  </si>
  <si>
    <t xml:space="preserve">FU-MON-01</t>
  </si>
  <si>
    <t xml:space="preserve">Describe 24/7 security monitoring, escalation times, and coverage of identity, cloud and database logs.</t>
  </si>
  <si>
    <t xml:space="preserve">CR-15</t>
  </si>
  <si>
    <t xml:space="preserve">SOC contract summary; coverage matrix</t>
  </si>
  <si>
    <t xml:space="preserve">Managed SOC 24/7. Critical alerts triaged within 15 minutes. Cloud, identity and application logs are covered, and database auditing covers personal data tables.</t>
  </si>
  <si>
    <t xml:space="preserve">FU-MON-02</t>
  </si>
  <si>
    <t xml:space="preserve">Are logs immutable, and how long are they kept (hot and cold)?</t>
  </si>
  <si>
    <t xml:space="preserve">Retention configuration</t>
  </si>
  <si>
    <t xml:space="preserve">90 days hot and 13 months cold in object-lock storage.</t>
  </si>
  <si>
    <t xml:space="preserve">EV-40.</t>
  </si>
  <si>
    <t xml:space="preserve">FU-MON-03</t>
  </si>
  <si>
    <t xml:space="preserve">Can vendor administrator activity on the bank's tenant be sent to the bank's SIEM?</t>
  </si>
  <si>
    <t xml:space="preserve">Integration description</t>
  </si>
  <si>
    <t xml:space="preserve">Audit events are available by API now. Streaming by syslog is planned for Q1 2027.</t>
  </si>
  <si>
    <t xml:space="preserve">EV-66. Bank action BA-04.</t>
  </si>
  <si>
    <t xml:space="preserve">FU-INC-01</t>
  </si>
  <si>
    <t xml:space="preserve">Provide the incident response plan summary, the severity scale, and the date of the last exercise.</t>
  </si>
  <si>
    <t xml:space="preserve">CR-24</t>
  </si>
  <si>
    <t xml:space="preserve">Plan summary; exercise record</t>
  </si>
  <si>
    <t xml:space="preserve">Plan v3.1 aligned with ISO 27035. The last tabletop exercise was in Mar 2025.</t>
  </si>
  <si>
    <t xml:space="preserve">EV-63. See FND-29 (Low).</t>
  </si>
  <si>
    <t xml:space="preserve">FU-INC-02</t>
  </si>
  <si>
    <t xml:space="preserve">List security incidents in the last three years that affected customer data, with root cause and customer notification time.</t>
  </si>
  <si>
    <t xml:space="preserve">Incident list</t>
  </si>
  <si>
    <t xml:space="preserve">One incident in 2024: a misconfigured storage bucket exposed 800 itinerary files for 6 hours. Customers were notified after 52 hours.</t>
  </si>
  <si>
    <t xml:space="preserve">EV-63. Shows why 24 hours matters.</t>
  </si>
  <si>
    <t xml:space="preserve">FU-INC-03</t>
  </si>
  <si>
    <t xml:space="preserve">Will you notify the bank within 24 hours of confirming an incident affecting its data? If not, what can you commit to?</t>
  </si>
  <si>
    <t xml:space="preserve">Contract language</t>
  </si>
  <si>
    <t xml:space="preserve">48 hours. A preliminary notice by email within 24 hours of detection is offered for major incidents, without details.</t>
  </si>
  <si>
    <t xml:space="preserve">EV-46. Legal to decide.</t>
  </si>
  <si>
    <t xml:space="preserve">FU-INC-04</t>
  </si>
  <si>
    <t xml:space="preserve">Will you share the root cause report for incidents affecting the bank?</t>
  </si>
  <si>
    <t xml:space="preserve">Yes, a summary within 30 days.</t>
  </si>
  <si>
    <t xml:space="preserve">EV-46.</t>
  </si>
  <si>
    <t xml:space="preserve">FU-BCD-01</t>
  </si>
  <si>
    <t xml:space="preserve">Provide the business impact analysis and the recovery objectives for the connector and the booking platform.</t>
  </si>
  <si>
    <t xml:space="preserve">V5</t>
  </si>
  <si>
    <t xml:space="preserve">Impact analysis summary</t>
  </si>
  <si>
    <t xml:space="preserve">2026 analysis provided. Booking: 4 hours and 1 hour. Connector: 8 hours.</t>
  </si>
  <si>
    <t xml:space="preserve">FU-BCD-02</t>
  </si>
  <si>
    <t xml:space="preserve">Provide the latest disaster recovery test report, including actual recovery times.</t>
  </si>
  <si>
    <t xml:space="preserve">Test report</t>
  </si>
  <si>
    <t xml:space="preserve">Failover test on 18 Nov 2026: platform recovered in 3 hours 40 minutes, data loss 20 minutes.</t>
  </si>
  <si>
    <t xml:space="preserve">EV-38.</t>
  </si>
  <si>
    <t xml:space="preserve">FU-BCD-03</t>
  </si>
  <si>
    <t xml:space="preserve">Provide the last backup restore test and show that backups are stored separately from production.</t>
  </si>
  <si>
    <t xml:space="preserve">Restore test record; account structure</t>
  </si>
  <si>
    <t xml:space="preserve">Last restore test in Aug 2025. Backups share the production cloud account.</t>
  </si>
  <si>
    <t xml:space="preserve">EV-47. See FND-31.</t>
  </si>
  <si>
    <t xml:space="preserve">FU-BCD-04</t>
  </si>
  <si>
    <t xml:space="preserve">What is the plan if your cloud provider's region is unavailable for more than a day?</t>
  </si>
  <si>
    <t xml:space="preserve">Continuity plan</t>
  </si>
  <si>
    <t xml:space="preserve">Failover to the second EU region (tested). No plan for a provider-wide outage.</t>
  </si>
  <si>
    <t xml:space="preserve">Accepted as a known dependency.</t>
  </si>
  <si>
    <t xml:space="preserve">FU-PRV-01</t>
  </si>
  <si>
    <t xml:space="preserve">Provide the record of processing for the bank's data and your process for data subject requests.</t>
  </si>
  <si>
    <t xml:space="preserve">Processing record; request procedure</t>
  </si>
  <si>
    <t xml:space="preserve">Processor record and request procedure provided. Average handling time is 9 days.</t>
  </si>
  <si>
    <t xml:space="preserve">FU-PRV-02</t>
  </si>
  <si>
    <t xml:space="preserve">Provide transfer impact assessments for India, the US email and monitoring providers, and the AI provider.</t>
  </si>
  <si>
    <t xml:space="preserve">Impact assessments</t>
  </si>
  <si>
    <t xml:space="preserve">Assessments for India, the email provider and the monitoring provider provided. None for the AI provider.</t>
  </si>
  <si>
    <t xml:space="preserve">EV-31. The AI provider stays off.</t>
  </si>
  <si>
    <t xml:space="preserve">FU-PRV-03</t>
  </si>
  <si>
    <t xml:space="preserve">How is the bank's data deleted at contract end, including backups, and how is it evidenced?</t>
  </si>
  <si>
    <t xml:space="preserve">Deletion procedure; certificate sample</t>
  </si>
  <si>
    <t xml:space="preserve">Deletion within 30 days. Backups age out in 35 days. A certificate is issued.</t>
  </si>
  <si>
    <t xml:space="preserve">EV-39.</t>
  </si>
  <si>
    <t xml:space="preserve">FU-GRC-01</t>
  </si>
  <si>
    <t xml:space="preserve">Provide the SOC 2 exceptions, the carved-out subservice organisations and the customer controls you expect the bank to operate.</t>
  </si>
  <si>
    <t xml:space="preserve">L1</t>
  </si>
  <si>
    <t xml:space="preserve">Exception list; customer control list</t>
  </si>
  <si>
    <t xml:space="preserve">Two exceptions (access reviews done late twice). The cloud provider is carved out. 14 customer controls listed.</t>
  </si>
  <si>
    <t xml:space="preserve">EV-60. See FND-28.</t>
  </si>
  <si>
    <t xml:space="preserve">FU-GRC-02</t>
  </si>
  <si>
    <t xml:space="preserve">Provide the cyber insurance certificate and compare the cover with the liability cap in the contract.</t>
  </si>
  <si>
    <t xml:space="preserve">Finance</t>
  </si>
  <si>
    <t xml:space="preserve">CR-33</t>
  </si>
  <si>
    <t xml:space="preserve">Insurance certificate; contract cap</t>
  </si>
  <si>
    <t xml:space="preserve">Cover of EUR 10 million confirmed. The contract cap is 12 months of fees, about EUR 0.4 million.</t>
  </si>
  <si>
    <t xml:space="preserve">EV-61. See FND-32.</t>
  </si>
  <si>
    <t xml:space="preserve">FU-GRC-03</t>
  </si>
  <si>
    <t xml:space="preserve">Provide audited financial statements for the last two years and any going-concern notes.</t>
  </si>
  <si>
    <t xml:space="preserve">Audited accounts</t>
  </si>
  <si>
    <t xml:space="preserve">Provided. Profitable, no going-concern note.</t>
  </si>
  <si>
    <t xml:space="preserve">EV-62.</t>
  </si>
  <si>
    <t xml:space="preserve">FU-GRC-04</t>
  </si>
  <si>
    <t xml:space="preserve">Provide the anti-bribery and sanctions policy and training records, and say whether any investigation exists.</t>
  </si>
  <si>
    <t xml:space="preserve">Policy; training records</t>
  </si>
  <si>
    <t xml:space="preserve">Policy and 96 percent training completion. No investigations.</t>
  </si>
  <si>
    <t xml:space="preserve">FU-CHG-01</t>
  </si>
  <si>
    <t xml:space="preserve">How are changes to production approved, tested and rolled back, and how are emergency changes handled?</t>
  </si>
  <si>
    <t xml:space="preserve">Change procedure</t>
  </si>
  <si>
    <t xml:space="preserve">Change tickets with approval and automated gating. Emergency changes are reviewed within 48 hours.</t>
  </si>
  <si>
    <t xml:space="preserve">FU-CHG-02</t>
  </si>
  <si>
    <t xml:space="preserve">How do you detect and handle configuration drift on the connector and platform baselines?</t>
  </si>
  <si>
    <t xml:space="preserve">Drift reports</t>
  </si>
  <si>
    <t xml:space="preserve">Infrastructure is defined as code, with daily drift checks.</t>
  </si>
  <si>
    <t xml:space="preserve">FU-CHG-03</t>
  </si>
  <si>
    <t xml:space="preserve">Will you notify the bank before changes that affect its integration (IP addresses, interfaces, new modules, new fourth parties)?</t>
  </si>
  <si>
    <t xml:space="preserve">CR-27</t>
  </si>
  <si>
    <t xml:space="preserve">30 days for IP and interface changes. New modules are announced in release notes only.</t>
  </si>
  <si>
    <t xml:space="preserve">EV-45.</t>
  </si>
  <si>
    <t xml:space="preserve">FU-PPL-01</t>
  </si>
  <si>
    <t xml:space="preserve">What background screening applies to staff with access to customer data, including the offshore support team?</t>
  </si>
  <si>
    <t xml:space="preserve">Screening policy; verification samples</t>
  </si>
  <si>
    <t xml:space="preserve">Identity and employment checks for all staff. Criminal record checks in Ireland. For India, five years where lawful.</t>
  </si>
  <si>
    <t xml:space="preserve">FU-PPL-02</t>
  </si>
  <si>
    <t xml:space="preserve">Provide security training completion rates and phishing exercise results for staff with production access.</t>
  </si>
  <si>
    <t xml:space="preserve">Training metrics</t>
  </si>
  <si>
    <t xml:space="preserve">98 percent training completion. Phishing click rate 3 percent.</t>
  </si>
  <si>
    <t xml:space="preserve">EV-65.</t>
  </si>
  <si>
    <t xml:space="preserve">FU-PPL-03</t>
  </si>
  <si>
    <t xml:space="preserve">How are leavers' access and laptops handled within 24 hours, and how are endpoints protected (EDR, disk encryption, local admin rights)?</t>
  </si>
  <si>
    <t xml:space="preserve">Leaver sample; endpoint report</t>
  </si>
  <si>
    <t xml:space="preserve">Access removed within 24 hours in a sample of 10 leavers. EDR and disk encryption on all laptops. Local admin rights removed except for engineers.</t>
  </si>
  <si>
    <t xml:space="preserve">EV-64.</t>
  </si>
  <si>
    <t xml:space="preserve">FU-INF-01</t>
  </si>
  <si>
    <t xml:space="preserve">How are hosts hardened (baselines, golden images), and how are administrative ports exposed?</t>
  </si>
  <si>
    <t xml:space="preserve">Hardening baseline; admin access design</t>
  </si>
  <si>
    <t xml:space="preserve">Hardened images based on an industry baseline. No public admin ports. Sessions are recorded.</t>
  </si>
  <si>
    <t xml:space="preserve">FU-INF-02</t>
  </si>
  <si>
    <t xml:space="preserve">How can the cloud provider's staff reach customer data, and what controls apply?</t>
  </si>
  <si>
    <t xml:space="preserve">FH</t>
  </si>
  <si>
    <t xml:space="preserve">Provider access description</t>
  </si>
  <si>
    <t xml:space="preserve">Provider access to customer content is denied by default. Support access is logged and customer-approved.</t>
  </si>
  <si>
    <t xml:space="preserve">FU-PHY-01</t>
  </si>
  <si>
    <t xml:space="preserve">Provide the cloud provider's data centre assurance reports and confirm the locations used for the bank's data.</t>
  </si>
  <si>
    <t xml:space="preserve">Provider reports; location list</t>
  </si>
  <si>
    <t xml:space="preserve">2025 provider reports provided. Locations: two EU regions and a US archive region.</t>
  </si>
  <si>
    <t xml:space="preserve">EV-47. The US location confirms FND-23.</t>
  </si>
  <si>
    <t xml:space="preserve">FU-PHY-02</t>
  </si>
  <si>
    <t xml:space="preserve">Describe physical access controls at your offices and the India support site.</t>
  </si>
  <si>
    <t xml:space="preserve">Site description</t>
  </si>
  <si>
    <t xml:space="preserve">Questions left unassessed in the initial assessment, re-asked in the follow-up</t>
  </si>
  <si>
    <t xml:space="preserve">Domain</t>
  </si>
  <si>
    <t xml:space="preserve">A1</t>
  </si>
  <si>
    <t xml:space="preserve">Scope and service model</t>
  </si>
  <si>
    <t xml:space="preserve">Is the service multi-tenant SaaS, single-tenant cloud, or self-hosted? Which edition and version are we buying?</t>
  </si>
  <si>
    <t xml:space="preserve">Multi-tenant SaaS with a dedicated connector instance per client. The order form shows the enterprise edition.</t>
  </si>
  <si>
    <t xml:space="preserve">A2</t>
  </si>
  <si>
    <t xml:space="preserve">Which data categories will the service store or process (employee data, passport/ID numbers, financial data)?</t>
  </si>
  <si>
    <t xml:space="preserve">The data inventory covers D1 to D16. Prompt logs and US archive backups were missing until the follow-up.</t>
  </si>
  <si>
    <t xml:space="preserve">EV-47. See FND-23.</t>
  </si>
  <si>
    <t xml:space="preserve">B4</t>
  </si>
  <si>
    <t xml:space="preserve">Identity and sign-on</t>
  </si>
  <si>
    <t xml:space="preserve">What session timeout, re-authentication and device or network restrictions apply?</t>
  </si>
  <si>
    <t xml:space="preserve">Idle timeout 30 minutes, absolute 12 hours, re-authentication for payment settings.</t>
  </si>
  <si>
    <t xml:space="preserve">C1</t>
  </si>
  <si>
    <t xml:space="preserve">Provisioning and leavers</t>
  </si>
  <si>
    <t xml:space="preserve">How are accounts created (SCIM, API, manual, self-signup)? Is self-signup disabled?</t>
  </si>
  <si>
    <t xml:space="preserve">Accounts are created from the roster through the connector. Self-signup is disabled.</t>
  </si>
  <si>
    <t xml:space="preserve">C3</t>
  </si>
  <si>
    <t xml:space="preserve">How are role changes (movers) reflected in groups, roles and entitlements?</t>
  </si>
  <si>
    <t xml:space="preserve">Role changes follow the HR record at the next nightly sync.</t>
  </si>
  <si>
    <t xml:space="preserve">C4</t>
  </si>
  <si>
    <t xml:space="preserve">How are seats assigned and reclaimed, and are dormant accounts reported?</t>
  </si>
  <si>
    <t xml:space="preserve">Monthly seat report. 12 dormant accounts were flagged in Sep and removed.</t>
  </si>
  <si>
    <t xml:space="preserve">E1</t>
  </si>
  <si>
    <t xml:space="preserve">HR data sync</t>
  </si>
  <si>
    <t xml:space="preserve">Which employee fields are received, and are they limited to the minimum needed?</t>
  </si>
  <si>
    <t xml:space="preserve">The field mapping lists 14 fields. Gender and home address are not synced.</t>
  </si>
  <si>
    <t xml:space="preserve">E2</t>
  </si>
  <si>
    <t xml:space="preserve">What method (REST, webhook, SFTP) and direction is used, and who initiates the connection?</t>
  </si>
  <si>
    <t xml:space="preserve">REST over HTTPS, opened by the connector. SFTP is not used for the roster.</t>
  </si>
  <si>
    <t xml:space="preserve">F1</t>
  </si>
  <si>
    <t xml:space="preserve">Approvals and policy</t>
  </si>
  <si>
    <t xml:space="preserve">How are policy rules defined, approved and version-controlled?</t>
  </si>
  <si>
    <t xml:space="preserve">Policy rules are versioned in the console with a change history. There is no second approval.</t>
  </si>
  <si>
    <t xml:space="preserve">See FND-07.</t>
  </si>
  <si>
    <t xml:space="preserve">F2</t>
  </si>
  <si>
    <t xml:space="preserve">How is an approval request authenticated so it cannot be forged or replayed?</t>
  </si>
  <si>
    <t xml:space="preserve">Approval messages are signed, with a nonce and a 5-minute expiry. Covered by the penetration test.</t>
  </si>
  <si>
    <t xml:space="preserve">F3</t>
  </si>
  <si>
    <t xml:space="preserve">Is segregation of duties enforced (a requester cannot approve their own booking)?</t>
  </si>
  <si>
    <t xml:space="preserve">A requester cannot approve their own trip. Test evidence provided.</t>
  </si>
  <si>
    <t xml:space="preserve">F4</t>
  </si>
  <si>
    <t xml:space="preserve">How does the platform stop users who are not authorised bookers from creating bookings, and how is the sponsor's approval enforced for guest travel?</t>
  </si>
  <si>
    <t xml:space="preserve">Only users with the booker role can create guest bookings. Sponsor approval is enforced in a workflow.</t>
  </si>
  <si>
    <t xml:space="preserve">G3</t>
  </si>
  <si>
    <t xml:space="preserve">Financial sync</t>
  </si>
  <si>
    <t xml:space="preserve">How are payment details and supplier data protected against tampering?</t>
  </si>
  <si>
    <t xml:space="preserve">The vendor calls back for its own suppliers' bank-detail changes. For customers, the change letter is emailed, so the bank must apply its own call-back.</t>
  </si>
  <si>
    <t xml:space="preserve">Bank action BA-01. See FND-21.</t>
  </si>
  <si>
    <t xml:space="preserve">H2</t>
  </si>
  <si>
    <t xml:space="preserve">Network and gateway</t>
  </si>
  <si>
    <t xml:space="preserve">Which TLS versions and cipher policy are used? Is mutual TLS available for APIs?</t>
  </si>
  <si>
    <t xml:space="preserve">TLS 1.2 and 1.3. Mutual TLS is not offered. Private-key JWT client authentication is offered.</t>
  </si>
  <si>
    <t xml:space="preserve">Accepted as a compensating control, see FND-09. EV-37.</t>
  </si>
  <si>
    <t xml:space="preserve">H3</t>
  </si>
  <si>
    <t xml:space="preserve">How are APIs authenticated (OAuth, keys), scoped and rate-limited?</t>
  </si>
  <si>
    <t xml:space="preserve">OAuth 2.0 client credentials with scopes. Rate limit of 600 requests a minute per client.</t>
  </si>
  <si>
    <t xml:space="preserve">I3</t>
  </si>
  <si>
    <t xml:space="preserve">Data protection</t>
  </si>
  <si>
    <t xml:space="preserve">What are the retention, deletion and return rules at contract end, including backups?</t>
  </si>
  <si>
    <t xml:space="preserve">Roster records are removed 90 days after leaving. Backups age out in 35 days. A deletion certificate is available.</t>
  </si>
  <si>
    <t xml:space="preserve">I4</t>
  </si>
  <si>
    <t xml:space="preserve">How is sensitive personal data (passport, ID, emergency contacts) protected (masking, field-level encryption)?</t>
  </si>
  <si>
    <t xml:space="preserve">Passport numbers use field-level encryption. Passport copies for visas are kept for 90 days.</t>
  </si>
  <si>
    <t xml:space="preserve">J2</t>
  </si>
  <si>
    <t xml:space="preserve">Logging and monitoring</t>
  </si>
  <si>
    <t xml:space="preserve">Can we export logs to our SIEM in near real time?</t>
  </si>
  <si>
    <t xml:space="preserve">Audit events are available by API now. Syslog streaming is planned for Q1 2027.</t>
  </si>
  <si>
    <t xml:space="preserve">BA-04.</t>
  </si>
  <si>
    <t xml:space="preserve">J3</t>
  </si>
  <si>
    <t xml:space="preserve">How are suspicious events detected, and how are we alerted?</t>
  </si>
  <si>
    <t xml:space="preserve">A managed SOC alerts on anomalies. Customers are alerted by email within 1 hour of a confirmed incident.</t>
  </si>
  <si>
    <t xml:space="preserve">K2</t>
  </si>
  <si>
    <t xml:space="preserve">Subprocessors</t>
  </si>
  <si>
    <t xml:space="preserve">How are subprocessors assessed, and how are we notified of changes?</t>
  </si>
  <si>
    <t xml:space="preserve">Suppliers are assessed at onboarding and yearly. Notice of changes is covered in the contract redline.</t>
  </si>
  <si>
    <t xml:space="preserve">EV-45, EV-57.</t>
  </si>
  <si>
    <t xml:space="preserve">Assurance</t>
  </si>
  <si>
    <t xml:space="preserve">What are the vulnerability management and patching timelines?</t>
  </si>
  <si>
    <t xml:space="preserve">Critical 7 days and High 30 days patch deadlines. Six High items are open, two beyond the deadline.</t>
  </si>
  <si>
    <t xml:space="preserve">N2</t>
  </si>
  <si>
    <t xml:space="preserve">Contract terms</t>
  </si>
  <si>
    <t xml:space="preserve">Does the vendor commit to cooperate with our competent and resolution authorities?</t>
  </si>
  <si>
    <t xml:space="preserve">Cooperation with the bank's competent and resolution authorities is accepted in the bank addendum.</t>
  </si>
  <si>
    <t xml:space="preserve">N6</t>
  </si>
  <si>
    <t xml:space="preserve">Will the vendor take part in our security awareness and resilience training where required?</t>
  </si>
  <si>
    <t xml:space="preserve">Participation in the bank's training on request, up to two sessions a year.</t>
  </si>
  <si>
    <t xml:space="preserve">Evidence log, follow-up (simulated)</t>
  </si>
  <si>
    <t xml:space="preserve">Evidence ID</t>
  </si>
  <si>
    <t xml:space="preserve">Evidence item</t>
  </si>
  <si>
    <t xml:space="preserve">Provided by</t>
  </si>
  <si>
    <t xml:space="preserve">Date</t>
  </si>
  <si>
    <t xml:space="preserve">Strength</t>
  </si>
  <si>
    <t xml:space="preserve">Covers</t>
  </si>
  <si>
    <t xml:space="preserve">EV-26</t>
  </si>
  <si>
    <t xml:space="preserve">Privileged access tool configuration and approval workflow</t>
  </si>
  <si>
    <t xml:space="preserve">9 Nov 2026</t>
  </si>
  <si>
    <t xml:space="preserve">FU-IAM-01, FU-IAM-02, FU-IAM-05</t>
  </si>
  <si>
    <t xml:space="preserve">Screenshots</t>
  </si>
  <si>
    <t xml:space="preserve">EV-27</t>
  </si>
  <si>
    <t xml:space="preserve">30-day privileged access log extract</t>
  </si>
  <si>
    <t xml:space="preserve">Oct to Nov 2026</t>
  </si>
  <si>
    <t xml:space="preserve">Strong</t>
  </si>
  <si>
    <t xml:space="preserve">System export. No standing sessions</t>
  </si>
  <si>
    <t xml:space="preserve">EV-28</t>
  </si>
  <si>
    <t xml:space="preserve">Secret read-access list (3 roles) and approval log</t>
  </si>
  <si>
    <t xml:space="preserve">Nov 2026</t>
  </si>
  <si>
    <t xml:space="preserve">Verified by Bank IT security</t>
  </si>
  <si>
    <t xml:space="preserve">EV-29</t>
  </si>
  <si>
    <t xml:space="preserve">Credential rotation job configuration and execution log</t>
  </si>
  <si>
    <t xml:space="preserve">14 Nov 2026</t>
  </si>
  <si>
    <t xml:space="preserve">First automated rotation</t>
  </si>
  <si>
    <t xml:space="preserve">EV-30</t>
  </si>
  <si>
    <t xml:space="preserve">Observed by Bank IT</t>
  </si>
  <si>
    <t xml:space="preserve">19 Nov 2026</t>
  </si>
  <si>
    <t xml:space="preserve">2 hours 10 minutes</t>
  </si>
  <si>
    <t xml:space="preserve">EV-31</t>
  </si>
  <si>
    <t xml:space="preserve">Transfer impact assessments: India support, email provider, monitoring provider</t>
  </si>
  <si>
    <t xml:space="preserve">Vendor-authored, reviewed by the bank's DPO</t>
  </si>
  <si>
    <t xml:space="preserve">AI assistant switch-off configuration and test session</t>
  </si>
  <si>
    <t xml:space="preserve">12 Nov 2026</t>
  </si>
  <si>
    <t xml:space="preserve">No calls to the provider seen</t>
  </si>
  <si>
    <t xml:space="preserve">EV-33</t>
  </si>
  <si>
    <t xml:space="preserve">Data processing excerpt with the AI model provider</t>
  </si>
  <si>
    <t xml:space="preserve">Full contract withheld</t>
  </si>
  <si>
    <t xml:space="preserve">Vendor counter-proposal on audit rights (letter)</t>
  </si>
  <si>
    <t xml:space="preserve">6 Nov 2026</t>
  </si>
  <si>
    <t xml:space="preserve">Strong (document)</t>
  </si>
  <si>
    <t xml:space="preserve">Two on-site audits a year, 10 working days' notice</t>
  </si>
  <si>
    <t xml:space="preserve">EV-35</t>
  </si>
  <si>
    <t xml:space="preserve">Qualified assessor letter: vendor out of PCI DSS scope (tokens only)</t>
  </si>
  <si>
    <t xml:space="preserve">Card Provider Y attestation remains valid (EV-04)</t>
  </si>
  <si>
    <t xml:space="preserve">SOC 2 bridge letter, 1 Jan to 30 Sep 2026</t>
  </si>
  <si>
    <t xml:space="preserve">Oct 2026</t>
  </si>
  <si>
    <t xml:space="preserve">No new exceptions</t>
  </si>
  <si>
    <t xml:space="preserve">Signed acceptance of compensating controls instead of mutual TLS</t>
  </si>
  <si>
    <t xml:space="preserve">Strong (internal)</t>
  </si>
  <si>
    <t xml:space="preserve">Private-key JWT, IP allow-list, 15-minute tokens</t>
  </si>
  <si>
    <t xml:space="preserve">Disaster recovery failover test report</t>
  </si>
  <si>
    <t xml:space="preserve">18 Nov 2026</t>
  </si>
  <si>
    <t xml:space="preserve">3 hours 40 minutes, data loss 20 minutes</t>
  </si>
  <si>
    <t xml:space="preserve">Guest-data retention configuration and deletion log</t>
  </si>
  <si>
    <t xml:space="preserve">20 Nov 2026</t>
  </si>
  <si>
    <t xml:space="preserve">FND-11, FU-PRV-03</t>
  </si>
  <si>
    <t xml:space="preserve">90-day automatic deletion</t>
  </si>
  <si>
    <t xml:space="preserve">Log redaction rule and sample log</t>
  </si>
  <si>
    <t xml:space="preserve">16 Nov 2026</t>
  </si>
  <si>
    <t xml:space="preserve">FND-13, FU-MON-02</t>
  </si>
  <si>
    <t xml:space="preserve">Free text redacted</t>
  </si>
  <si>
    <t xml:space="preserve">Masked test-data pipeline configuration and two months of logs</t>
  </si>
  <si>
    <t xml:space="preserve">No production copies in the period</t>
  </si>
  <si>
    <t xml:space="preserve">Insurer data retention rule and interface alert sample</t>
  </si>
  <si>
    <t xml:space="preserve">12 months retention</t>
  </si>
  <si>
    <t xml:space="preserve">Break-glass vault configuration and approval log</t>
  </si>
  <si>
    <t xml:space="preserve">10 Nov 2026</t>
  </si>
  <si>
    <t xml:space="preserve">Two-person approval</t>
  </si>
  <si>
    <t xml:space="preserve">VIP profile masking configuration and test</t>
  </si>
  <si>
    <t xml:space="preserve">17 Nov 2026</t>
  </si>
  <si>
    <t xml:space="preserve">Support view masked</t>
  </si>
  <si>
    <t xml:space="preserve">Contract redline: subprocessor notice, insolvency clause, 24-hour revocation</t>
  </si>
  <si>
    <t xml:space="preserve">Medium (unsigned)</t>
  </si>
  <si>
    <t xml:space="preserve">FND-12, FND-15, FU-CHG-03</t>
  </si>
  <si>
    <t xml:space="preserve">Agreed in principle, not signed</t>
  </si>
  <si>
    <t xml:space="preserve">Incident notification offer (48 hours), root cause terms and assistance rate card</t>
  </si>
  <si>
    <t xml:space="preserve">FND-16, FU-INC-03, FU-INC-04</t>
  </si>
  <si>
    <t xml:space="preserve">24 hours not offered</t>
  </si>
  <si>
    <t xml:space="preserve">Data inventory with storage regions and replication diagram</t>
  </si>
  <si>
    <t xml:space="preserve">FU-DAT-02, FU-CLD-03, FU-BCD-03, FU-PHY-01</t>
  </si>
  <si>
    <t xml:space="preserve">Shows the US archive region</t>
  </si>
  <si>
    <t xml:space="preserve">EV-48</t>
  </si>
  <si>
    <t xml:space="preserve">Secure development policy, pipeline diagram and change procedure</t>
  </si>
  <si>
    <t xml:space="preserve">FU-APP-01, FU-APP-07, FU-CHG-01</t>
  </si>
  <si>
    <t xml:space="preserve">Documents</t>
  </si>
  <si>
    <t xml:space="preserve">EV-49</t>
  </si>
  <si>
    <t xml:space="preserve">Static and dependency scan summaries; vulnerability scan summary</t>
  </si>
  <si>
    <t xml:space="preserve">Strong (export)</t>
  </si>
  <si>
    <t xml:space="preserve">FU-APP-02, FU-VUL-01</t>
  </si>
  <si>
    <t xml:space="preserve">Three High findings beyond target</t>
  </si>
  <si>
    <t xml:space="preserve">EV-50</t>
  </si>
  <si>
    <t xml:space="preserve">Dynamic testing summary</t>
  </si>
  <si>
    <t xml:space="preserve">4 Oct 2026</t>
  </si>
  <si>
    <t xml:space="preserve">Quarterly</t>
  </si>
  <si>
    <t xml:space="preserve">Branch protection rule screenshots</t>
  </si>
  <si>
    <t xml:space="preserve">Admins can bypass</t>
  </si>
  <si>
    <t xml:space="preserve">EV-52</t>
  </si>
  <si>
    <t xml:space="preserve">Secret scanning configuration and 2026 incident records</t>
  </si>
  <si>
    <t xml:space="preserve">Two secrets rotated</t>
  </si>
  <si>
    <t xml:space="preserve">List of the top 20 third-party libraries</t>
  </si>
  <si>
    <t xml:space="preserve">Weak</t>
  </si>
  <si>
    <t xml:space="preserve">Not a full bill of materials</t>
  </si>
  <si>
    <t xml:space="preserve">EV-54</t>
  </si>
  <si>
    <t xml:space="preserve">Shared-responsibility matrix, posture report, environment and drift evidence</t>
  </si>
  <si>
    <t xml:space="preserve">FU-CLD-01, FU-CLD-02, FU-CLD-04, FU-CHG-02, FU-INF-02</t>
  </si>
  <si>
    <t xml:space="preserve">Documents and exports</t>
  </si>
  <si>
    <t xml:space="preserve">EV-55</t>
  </si>
  <si>
    <t xml:space="preserve">Network segmentation diagram, rule summaries and hardening baseline</t>
  </si>
  <si>
    <t xml:space="preserve">FU-NET-01, FU-NET-03, FU-INF-01</t>
  </si>
  <si>
    <t xml:space="preserve">Rule summaries only</t>
  </si>
  <si>
    <t xml:space="preserve">EV-56</t>
  </si>
  <si>
    <t xml:space="preserve">Web application firewall, DDoS and API gateway configuration summary</t>
  </si>
  <si>
    <t xml:space="preserve">Summary</t>
  </si>
  <si>
    <t xml:space="preserve">EV-57</t>
  </si>
  <si>
    <t xml:space="preserve">Supplier assessment procedure, supplier register (11) and processing record</t>
  </si>
  <si>
    <t xml:space="preserve">FU-TPR-01, FU-TPR-02, FU-PRV-01</t>
  </si>
  <si>
    <t xml:space="preserve">Includes the AI provider</t>
  </si>
  <si>
    <t xml:space="preserve">EV-58</t>
  </si>
  <si>
    <t xml:space="preserve">Prompt handling description and AI red-team summary</t>
  </si>
  <si>
    <t xml:space="preserve">FU-AIS-03, FU-AIS-04</t>
  </si>
  <si>
    <t xml:space="preserve">Statements only</t>
  </si>
  <si>
    <t xml:space="preserve">EV-59</t>
  </si>
  <si>
    <t xml:space="preserve">Penetration test retest letter</t>
  </si>
  <si>
    <t xml:space="preserve">Independent test firm, via vendor</t>
  </si>
  <si>
    <t xml:space="preserve">22 Jul 2026</t>
  </si>
  <si>
    <t xml:space="preserve">FU-VUL-02, F2</t>
  </si>
  <si>
    <t xml:space="preserve">Both High findings fixed</t>
  </si>
  <si>
    <t xml:space="preserve">SOC 2 exception list and customer control list (14 items)</t>
  </si>
  <si>
    <t xml:space="preserve">Two exceptions</t>
  </si>
  <si>
    <t xml:space="preserve">Cyber insurance certificate</t>
  </si>
  <si>
    <t xml:space="preserve">EUR 10 million</t>
  </si>
  <si>
    <t xml:space="preserve">EV-62</t>
  </si>
  <si>
    <t xml:space="preserve">Audited accounts, last two years</t>
  </si>
  <si>
    <t xml:space="preserve">No going-concern note</t>
  </si>
  <si>
    <t xml:space="preserve">Incident response plan summary, exercise record and incident list</t>
  </si>
  <si>
    <t xml:space="preserve">FU-INC-01, FU-INC-02</t>
  </si>
  <si>
    <t xml:space="preserve">2024 bucket incident</t>
  </si>
  <si>
    <t xml:space="preserve">Screening policy, verification samples, leaver sample, endpoint report</t>
  </si>
  <si>
    <t xml:space="preserve">FU-PPL-01, FU-PPL-03, FU-DAT-04</t>
  </si>
  <si>
    <t xml:space="preserve">Offshore gaps</t>
  </si>
  <si>
    <t xml:space="preserve">EV-65</t>
  </si>
  <si>
    <t xml:space="preserve">Security training and phishing metrics</t>
  </si>
  <si>
    <t xml:space="preserve">98 percent completion</t>
  </si>
  <si>
    <t xml:space="preserve">Vendor's physical architecture and security specification (submitted, unverified)</t>
  </si>
  <si>
    <t xml:space="preserve">Medium (vendor-authored)</t>
  </si>
  <si>
    <t xml:space="preserve">Many R2 questions</t>
  </si>
  <si>
    <t xml:space="preserve">See vendor-physical-architecture</t>
  </si>
  <si>
    <t xml:space="preserve">The bank's own actions (customer-side controls)</t>
  </si>
  <si>
    <t xml:space="preserve">BA-01</t>
  </si>
  <si>
    <t xml:space="preserve">Call-back check for any change of the vendor's bank details</t>
  </si>
  <si>
    <t xml:space="preserve">Approved</t>
  </si>
  <si>
    <t xml:space="preserve">BA-02</t>
  </si>
  <si>
    <t xml:space="preserve">Conditional access and MFA policy for the platform application</t>
  </si>
  <si>
    <t xml:space="preserve">Done</t>
  </si>
  <si>
    <t xml:space="preserve">FS, FND-09</t>
  </si>
  <si>
    <t xml:space="preserve">BA-03</t>
  </si>
  <si>
    <t xml:space="preserve">Quarterly access review of bank-side booker accounts</t>
  </si>
  <si>
    <t xml:space="preserve">Bank HR and IT</t>
  </si>
  <si>
    <t xml:space="preserve">Planned</t>
  </si>
  <si>
    <t xml:space="preserve">BA-04</t>
  </si>
  <si>
    <t xml:space="preserve">Ingest vendor audit events into the bank's SIEM when streaming is available</t>
  </si>
  <si>
    <t xml:space="preserve">Planned (Q1 2027)</t>
  </si>
  <si>
    <t xml:space="preserve">BA-05</t>
  </si>
  <si>
    <t xml:space="preserve">Weekly review of the allowance rate-table change log</t>
  </si>
  <si>
    <t xml:space="preserve">Started</t>
  </si>
  <si>
    <t xml:space="preserve">BA-06</t>
  </si>
  <si>
    <t xml:space="preserve">Runbook to disable the connector's service accounts at once</t>
  </si>
  <si>
    <t xml:space="preserve">Drafted</t>
  </si>
  <si>
    <t xml:space="preserve">BA-07</t>
  </si>
  <si>
    <t xml:space="preserve">Register of information entry and criticality record</t>
  </si>
  <si>
    <t xml:space="preserve">Bank Compliance</t>
  </si>
  <si>
    <t xml:space="preserve">R1</t>
  </si>
  <si>
    <t xml:space="preserve">BA-08</t>
  </si>
  <si>
    <t xml:space="preserve">Confirm whether the supervisor must be informed before signing</t>
  </si>
  <si>
    <t xml:space="preserve">BA-09</t>
  </si>
  <si>
    <t xml:space="preserve">Decision on a data protection impact assessment</t>
  </si>
  <si>
    <t xml:space="preserve">R2</t>
  </si>
  <si>
    <t xml:space="preserve">BA-10</t>
  </si>
  <si>
    <t xml:space="preserve">Review the India transfer assessment</t>
  </si>
  <si>
    <t xml:space="preserve">Reviewed, accepted with the masking condition</t>
  </si>
  <si>
    <t xml:space="preserve">BA-11</t>
  </si>
  <si>
    <t xml:space="preserve">Assign the 14 SOC 2 customer controls to bank owners</t>
  </si>
  <si>
    <t xml:space="preserve">BA-12</t>
  </si>
  <si>
    <t xml:space="preserve">Fallback plan if the platform is unavailable (phone agent)</t>
  </si>
  <si>
    <t xml:space="preserve">BA-13</t>
  </si>
  <si>
    <t xml:space="preserve">Incident contact list agreed with the vendor</t>
  </si>
  <si>
    <t xml:space="preserve">Outside-in checks done by the bank (simulated results)</t>
  </si>
  <si>
    <t xml:space="preserve">Check</t>
  </si>
  <si>
    <t xml:space="preserve">Result</t>
  </si>
  <si>
    <t xml:space="preserve">Outcome</t>
  </si>
  <si>
    <t xml:space="preserve">OS-01</t>
  </si>
  <si>
    <t xml:space="preserve">Sanctions and adverse media screening of the legal entity and owners</t>
  </si>
  <si>
    <t xml:space="preserve">No matches</t>
  </si>
  <si>
    <t xml:space="preserve">OS-02</t>
  </si>
  <si>
    <t xml:space="preserve">Public TLS configuration of the vendor's endpoints</t>
  </si>
  <si>
    <t xml:space="preserve">TLS 1.2 and 1.3 only, HSTS on. Matches the vendor's statement</t>
  </si>
  <si>
    <t xml:space="preserve">OS-03</t>
  </si>
  <si>
    <t xml:space="preserve">Email security records (SPF, DKIM, DMARC)</t>
  </si>
  <si>
    <t xml:space="preserve">DMARC set to quarantine, not reject</t>
  </si>
  <si>
    <t xml:space="preserve">Observation (Low)</t>
  </si>
  <si>
    <t xml:space="preserve">OS-04</t>
  </si>
  <si>
    <t xml:space="preserve">Certificate and domain hygiene</t>
  </si>
  <si>
    <t xml:space="preserve">Valid certificates, expiry in 62 days, no unexpected domains</t>
  </si>
  <si>
    <t xml:space="preserve">OS-05</t>
  </si>
  <si>
    <t xml:space="preserve">External security rating</t>
  </si>
  <si>
    <t xml:space="preserve">Stable, in the good range (simulated)</t>
  </si>
  <si>
    <t xml:space="preserve">OS-06</t>
  </si>
  <si>
    <t xml:space="preserve">Public breach history, last three years</t>
  </si>
  <si>
    <t xml:space="preserve">No public breach. The 2024 incident was not public</t>
  </si>
  <si>
    <t xml:space="preserve">Observation</t>
  </si>
  <si>
    <t xml:space="preserve">OS-07</t>
  </si>
  <si>
    <t xml:space="preserve">Company registry: ownership and legal entity</t>
  </si>
  <si>
    <t xml:space="preserve">Matches the vendor's statements</t>
  </si>
  <si>
    <t xml:space="preserve">OS-08</t>
  </si>
  <si>
    <t xml:space="preserve">Public subprocessor page</t>
  </si>
  <si>
    <t xml:space="preserve">Lists 10 suppliers and omits the AI provider</t>
  </si>
  <si>
    <t xml:space="preserve">Confirms FND-04</t>
  </si>
  <si>
    <t xml:space="preserve">OS-09</t>
  </si>
  <si>
    <t xml:space="preserve">Credit and financial indicators</t>
  </si>
  <si>
    <t xml:space="preserve">Low risk (simulated)</t>
  </si>
  <si>
    <t xml:space="preserve">Security contact page (security.txt)</t>
  </si>
  <si>
    <t xml:space="preserve">Absent</t>
  </si>
  <si>
    <t xml:space="preserve">Confirms FND-33</t>
  </si>
  <si>
    <t xml:space="preserve">Not requested, and why</t>
  </si>
  <si>
    <t xml:space="preserve">Item</t>
  </si>
  <si>
    <t xml:space="preserve">Reason</t>
  </si>
  <si>
    <t xml:space="preserve">Source code review or access to repositories</t>
  </si>
  <si>
    <t xml:space="preserve">The analyst asks for evidence, not code. Branch rules and scan summaries are enough</t>
  </si>
  <si>
    <t xml:space="preserve">Running scans or tests against the vendor</t>
  </si>
  <si>
    <t xml:space="preserve">Not an analyst's job and not permitted without agreement. The penetration test letter covers it</t>
  </si>
  <si>
    <t xml:space="preserve">On-site visit to the cloud provider's data centres</t>
  </si>
  <si>
    <t xml:space="preserve">Controls are inherited. The provider's assurance reports are requested instead</t>
  </si>
  <si>
    <t xml:space="preserve">Physical security details of every vendor site</t>
  </si>
  <si>
    <t xml:space="preserve">Asked once for the India support site, as an if-applicable item</t>
  </si>
  <si>
    <t xml:space="preserve">Environmental, social and diversity reporting</t>
  </si>
  <si>
    <t xml:space="preserve">No link to a risk in this case</t>
  </si>
  <si>
    <t xml:space="preserve">E-discovery and legal hold procedures</t>
  </si>
  <si>
    <t xml:space="preserve">Not relevant to a travel platform. Data return is covered in the contract</t>
  </si>
  <si>
    <t xml:space="preserve">Container and Kubernetes configuration exports</t>
  </si>
  <si>
    <t xml:space="preserve">Posture report and scan summaries are enough unless a finding points here</t>
  </si>
  <si>
    <t xml:space="preserve">Full application security standard verification</t>
  </si>
  <si>
    <t xml:space="preserve">Out of proportion for an analyst. Scan, test and review evidence is requested instead</t>
  </si>
  <si>
    <t xml:space="preserve">Red team reports</t>
  </si>
  <si>
    <t xml:space="preserve">Not expected from a vendor of this kind. Penetration test retest letter requested</t>
  </si>
  <si>
    <t xml:space="preserve">New control requirements from the follow-up</t>
  </si>
  <si>
    <t xml:space="preserve">CR ID</t>
  </si>
  <si>
    <t xml:space="preserve">Requirement</t>
  </si>
  <si>
    <t xml:space="preserve">Risk addressed</t>
  </si>
  <si>
    <t xml:space="preserve">Derived from</t>
  </si>
  <si>
    <t xml:space="preserve">DORA</t>
  </si>
  <si>
    <t xml:space="preserve">GDPR</t>
  </si>
  <si>
    <t xml:space="preserve">ISO 27001:2022 Annex A</t>
  </si>
  <si>
    <t xml:space="preserve">Other</t>
  </si>
  <si>
    <t xml:space="preserve">Tier</t>
  </si>
  <si>
    <t xml:space="preserve">Secure development</t>
  </si>
  <si>
    <t xml:space="preserve">Code is built, reviewed, tested and released under a defined lifecycle with security testing, review rules that administrators cannot bypass, timely fixing of findings and tracked dependencies.</t>
  </si>
  <si>
    <t xml:space="preserve">Vulnerable code reaches production</t>
  </si>
  <si>
    <t xml:space="preserve">Follow-up items A and B; RR-19</t>
  </si>
  <si>
    <t xml:space="preserve">FU-APP-01, FU-APP-02, FU-APP-03, FU-APP-04, FU-APP-05, FU-APP-06, FU-APP-07, FU-CHG-01</t>
  </si>
  <si>
    <t xml:space="preserve">Art 9; Art 24</t>
  </si>
  <si>
    <t xml:space="preserve">Art 25; Art 32</t>
  </si>
  <si>
    <t xml:space="preserve">A.8.25; A.8.28; A.8.29; A.8.32</t>
  </si>
  <si>
    <t xml:space="preserve">OWASP ASVS (reference)</t>
  </si>
  <si>
    <t xml:space="preserve">All tiers</t>
  </si>
  <si>
    <t xml:space="preserve">Cloud and network platform security</t>
  </si>
  <si>
    <t xml:space="preserve">The vendor's cloud platform is segmented, monitored for misconfiguration, protected at the perimeter and separated by environment, and keeps data in the agreed regions, backups included.</t>
  </si>
  <si>
    <t xml:space="preserve">Data leaves the agreed regions or the platform is misconfigured</t>
  </si>
  <si>
    <t xml:space="preserve">Follow-up items 1 and 3; V6; RR-18</t>
  </si>
  <si>
    <t xml:space="preserve">FU-CLD-01, FU-CLD-02, FU-CLD-03, FU-CLD-04, FU-NET-01, FU-NET-02, FU-NET-03, FU-INF-01, FU-CHG-02, FU-PHY-01</t>
  </si>
  <si>
    <t xml:space="preserve">Art 9</t>
  </si>
  <si>
    <t xml:space="preserve">Art 32</t>
  </si>
  <si>
    <t xml:space="preserve">A.5.23; A.8.9; A.8.20; A.8.22; A.7.1</t>
  </si>
  <si>
    <t xml:space="preserve">Key management</t>
  </si>
  <si>
    <t xml:space="preserve">Keys are held in a managed key service with separated custodians, rotated on a schedule, and customer-managed keys are offered for sensitive data.</t>
  </si>
  <si>
    <t xml:space="preserve">Keys misused or exposed</t>
  </si>
  <si>
    <t xml:space="preserve">Follow-up item 2; RR-20</t>
  </si>
  <si>
    <t xml:space="preserve">FU-CRY-01, FU-CRY-02, FU-DAT-03</t>
  </si>
  <si>
    <t xml:space="preserve">Art 32(1)(a)</t>
  </si>
  <si>
    <t xml:space="preserve">A.8.24</t>
  </si>
  <si>
    <t xml:space="preserve">People and endpoint security</t>
  </si>
  <si>
    <t xml:space="preserve">Staff with access to the bank's data are screened, trained and use protected endpoints, offshore staff included.</t>
  </si>
  <si>
    <t xml:space="preserve">Insider misuse or leakage by support staff</t>
  </si>
  <si>
    <t xml:space="preserve">Follow-up item 5; RR-21</t>
  </si>
  <si>
    <t xml:space="preserve">FU-PPL-01, FU-PPL-02, FU-PPL-03, FU-DAT-04, FU-PHY-02</t>
  </si>
  <si>
    <t xml:space="preserve">A.6.1; A.6.3; A.8.1; A.7.2</t>
  </si>
  <si>
    <t xml:space="preserve">Vendor standing: finance, insurance, liability</t>
  </si>
  <si>
    <t xml:space="preserve">Insurance, financial standing and liability terms match the potential loss, and the vendor has an anti-bribery and sanctions policy.</t>
  </si>
  <si>
    <t xml:space="preserve">The vendor cannot cover a loss</t>
  </si>
  <si>
    <t xml:space="preserve">Follow-up; RR-08</t>
  </si>
  <si>
    <t xml:space="preserve">FU-GRC-02, FU-GRC-03, FU-GRC-04</t>
  </si>
  <si>
    <t xml:space="preserve">Art 28(4); Art 30(2)</t>
  </si>
  <si>
    <t xml:space="preserve">Art 28(1)</t>
  </si>
  <si>
    <t xml:space="preserve">A.5.22; A.5.31</t>
  </si>
  <si>
    <t xml:space="preserve">Anti-bribery policy (R5)</t>
  </si>
  <si>
    <t xml:space="preserve">Existing control requirements extended by the follow-up questions</t>
  </si>
  <si>
    <t xml:space="preserve">Follow-up questions added</t>
  </si>
  <si>
    <t xml:space="preserve">FU-IAM-03, FU-IAM-04</t>
  </si>
  <si>
    <t xml:space="preserve">FU-IAM-01, FU-IAM-02, FU-IAM-05, FU-INF-02</t>
  </si>
  <si>
    <t xml:space="preserve">FU-DAT-01, FU-PRV-03</t>
  </si>
  <si>
    <t xml:space="preserve">FU-DAT-02, FU-CLD-03, FU-PRV-01, FU-PRV-02</t>
  </si>
  <si>
    <t xml:space="preserve">FU-MON-01, FU-MON-02, FU-MON-03</t>
  </si>
  <si>
    <t xml:space="preserve">FU-TPR-01, FU-TPR-02, FU-TPR-03, FU-TPR-04</t>
  </si>
  <si>
    <t xml:space="preserve">FU-VUL-01, FU-VUL-02, FU-VUL-03, FU-GRC-01</t>
  </si>
  <si>
    <t xml:space="preserve">FU-INC-01, FU-INC-02, FU-INC-03, FU-INC-04, FU-BCD-01, FU-BCD-02, FU-BCD-03, FU-BCD-04</t>
  </si>
  <si>
    <t xml:space="preserve">FU-AIS-01, FU-AIS-02, FU-AIS-03, FU-AIS-04</t>
  </si>
  <si>
    <t xml:space="preserve">Regulatory map, follow-up questions</t>
  </si>
  <si>
    <t xml:space="preserve">DORA = Regulation (EU) 2022/2554. GDPR = Regulation (EU) 2016/679. ISO = ISO/IEC 27001:2022 Annex A. Article-level and indicative.</t>
  </si>
  <si>
    <t xml:space="preserve">DORA reference</t>
  </si>
  <si>
    <t xml:space="preserve">GDPR reference</t>
  </si>
  <si>
    <t xml:space="preserve">Other reference</t>
  </si>
  <si>
    <t xml:space="preserve">A.8.2; A.5.18</t>
  </si>
  <si>
    <t xml:space="preserve">Art 5(1)(c); Art 32</t>
  </si>
  <si>
    <t xml:space="preserve">A.5.12; A.8.13; A.8.12</t>
  </si>
  <si>
    <t xml:space="preserve">Art 30(2)(b)</t>
  </si>
  <si>
    <t xml:space="preserve">Arts 44 to 49</t>
  </si>
  <si>
    <t xml:space="preserve">A.5.34; A.5.12</t>
  </si>
  <si>
    <t xml:space="preserve">A.8.25; A.8.28; A.8.29</t>
  </si>
  <si>
    <t xml:space="preserve">Art 25</t>
  </si>
  <si>
    <t xml:space="preserve">A.8.25; A.8.32; A.8.4</t>
  </si>
  <si>
    <t xml:space="preserve">A.5.23; A.8.9</t>
  </si>
  <si>
    <t xml:space="preserve">A.5.23; A.5.34</t>
  </si>
  <si>
    <t xml:space="preserve">A.8.20; A.8.22</t>
  </si>
  <si>
    <t xml:space="preserve">Art 28(3); Art 28(4)</t>
  </si>
  <si>
    <t xml:space="preserve">Art 28(2); Art 28(4)</t>
  </si>
  <si>
    <t xml:space="preserve">A.5.19; A.5.21; A.5.22</t>
  </si>
  <si>
    <t xml:space="preserve">Art 28(3); Art 30(2)(a)</t>
  </si>
  <si>
    <t xml:space="preserve">Art 5(1)(b); Art 22 (if individuals are affected)</t>
  </si>
  <si>
    <t xml:space="preserve">A.5.19; A.5.34</t>
  </si>
  <si>
    <t xml:space="preserve">ISO/IEC 42001, EU AI Act (to check)</t>
  </si>
  <si>
    <t xml:space="preserve">Art 30(2)(c)</t>
  </si>
  <si>
    <t xml:space="preserve">Art 5(1)(b); Art 32</t>
  </si>
  <si>
    <t xml:space="preserve">A.5.34; A.8.11</t>
  </si>
  <si>
    <t xml:space="preserve">Art 32(1)(d)</t>
  </si>
  <si>
    <t xml:space="preserve">A.8.8; A.8.29</t>
  </si>
  <si>
    <t xml:space="preserve">n/a</t>
  </si>
  <si>
    <t xml:space="preserve">A.8.8</t>
  </si>
  <si>
    <t xml:space="preserve">Art 10</t>
  </si>
  <si>
    <t xml:space="preserve">A.8.15; A.8.16</t>
  </si>
  <si>
    <t xml:space="preserve">Art 17; Art 30(2)(f)</t>
  </si>
  <si>
    <t xml:space="preserve">Art 33(2)</t>
  </si>
  <si>
    <t xml:space="preserve">A.5.24; A.5.26; A.5.27</t>
  </si>
  <si>
    <t xml:space="preserve">Art 17; Art 19; Art 30(2)(f)</t>
  </si>
  <si>
    <t xml:space="preserve">A.5.24; A.5.26</t>
  </si>
  <si>
    <t xml:space="preserve">Art 11; Art 12</t>
  </si>
  <si>
    <t xml:space="preserve">Art 32(1)(b); Art 32(1)(c)</t>
  </si>
  <si>
    <t xml:space="preserve">A.5.30; A.8.13; A.8.14</t>
  </si>
  <si>
    <t xml:space="preserve">Art 12</t>
  </si>
  <si>
    <t xml:space="preserve">Art 32(1)(c)</t>
  </si>
  <si>
    <t xml:space="preserve">A.8.13</t>
  </si>
  <si>
    <t xml:space="preserve">Art 30; Art 35; Arts 12 to 22</t>
  </si>
  <si>
    <t xml:space="preserve">A.5.34</t>
  </si>
  <si>
    <t xml:space="preserve">A.5.22; A.5.31; A.5.35</t>
  </si>
  <si>
    <t xml:space="preserve">Art 28(4)</t>
  </si>
  <si>
    <t xml:space="preserve">A.5.22</t>
  </si>
  <si>
    <t xml:space="preserve">A.5.31</t>
  </si>
  <si>
    <t xml:space="preserve">A.8.32; A.8.9</t>
  </si>
  <si>
    <t xml:space="preserve">A.6.1; A.6.3; A.8.1</t>
  </si>
  <si>
    <t xml:space="preserve">A.8.9; A.8.20</t>
  </si>
  <si>
    <t xml:space="preserve">A.7.1; A.7.2; A.5.23</t>
  </si>
  <si>
    <t xml:space="preserve">ISO 27001 view, follow-up</t>
  </si>
  <si>
    <t xml:space="preserve">Annex A controls tested by the follow-up questions. New = not in the initial ISO view. Coverage view only, not a Statement of Applicability.</t>
  </si>
  <si>
    <t xml:space="preserve">Annex A control</t>
  </si>
  <si>
    <t xml:space="preserve">Theme</t>
  </si>
  <si>
    <t xml:space="preserve">Follow-up questions</t>
  </si>
  <si>
    <t xml:space="preserve">Question IDs</t>
  </si>
  <si>
    <t xml:space="preserve">New since the initial assessment</t>
  </si>
  <si>
    <t xml:space="preserve">A.5.12</t>
  </si>
  <si>
    <t xml:space="preserve">Classification of information</t>
  </si>
  <si>
    <t xml:space="preserve">Organizational</t>
  </si>
  <si>
    <t xml:space="preserve">FU-DAT-01, FU-DAT-02, FU-DAT-03, FU-DAT-04</t>
  </si>
  <si>
    <t xml:space="preserve">No</t>
  </si>
  <si>
    <t xml:space="preserve">A.5.18</t>
  </si>
  <si>
    <t xml:space="preserve">Access rights</t>
  </si>
  <si>
    <t xml:space="preserve">FU-IAM-01, FU-IAM-02, FU-IAM-03, FU-IAM-04, FU-IAM-05</t>
  </si>
  <si>
    <t xml:space="preserve">A.5.19</t>
  </si>
  <si>
    <t xml:space="preserve">Information security in supplier relationships</t>
  </si>
  <si>
    <t xml:space="preserve">FU-TPR-01, FU-TPR-02, FU-TPR-03, FU-TPR-04, FU-AIS-01, FU-AIS-02, FU-AIS-04</t>
  </si>
  <si>
    <t xml:space="preserve">A.5.21</t>
  </si>
  <si>
    <t xml:space="preserve">Managing information security in the ICT supply chain</t>
  </si>
  <si>
    <t xml:space="preserve">Monitoring, review and change management of supplier services</t>
  </si>
  <si>
    <t xml:space="preserve">FU-TPR-01, FU-TPR-02, FU-TPR-03, FU-TPR-04, FU-GRC-01, FU-GRC-02, FU-GRC-03</t>
  </si>
  <si>
    <t xml:space="preserve">A.5.23</t>
  </si>
  <si>
    <t xml:space="preserve">Information security for use of cloud services</t>
  </si>
  <si>
    <t xml:space="preserve">FU-CLD-01, FU-CLD-02, FU-CLD-03, FU-CLD-04, FU-PHY-01, FU-PHY-02</t>
  </si>
  <si>
    <t xml:space="preserve">A.5.24</t>
  </si>
  <si>
    <t xml:space="preserve">Information security incident management planning and preparation</t>
  </si>
  <si>
    <t xml:space="preserve">FU-INC-01, FU-INC-02, FU-INC-03, FU-INC-04</t>
  </si>
  <si>
    <t xml:space="preserve">A.5.26</t>
  </si>
  <si>
    <t xml:space="preserve">Response to information security incidents</t>
  </si>
  <si>
    <t xml:space="preserve">A.5.27</t>
  </si>
  <si>
    <t xml:space="preserve">Learning from information security incidents</t>
  </si>
  <si>
    <t xml:space="preserve">FU-INC-01, FU-INC-02, FU-INC-04</t>
  </si>
  <si>
    <t xml:space="preserve">Yes</t>
  </si>
  <si>
    <t xml:space="preserve">A.5.30</t>
  </si>
  <si>
    <t xml:space="preserve">ICT readiness for business continuity</t>
  </si>
  <si>
    <t xml:space="preserve">FU-BCD-01, FU-BCD-02, FU-BCD-04</t>
  </si>
  <si>
    <t xml:space="preserve">Legal, statutory, regulatory and contractual requirements</t>
  </si>
  <si>
    <t xml:space="preserve">FU-GRC-01, FU-GRC-04</t>
  </si>
  <si>
    <t xml:space="preserve">Privacy and protection of PII</t>
  </si>
  <si>
    <t xml:space="preserve">FU-DAT-02, FU-CLD-03, FU-AIS-01, FU-AIS-02, FU-AIS-03, FU-AIS-04, FU-PRV-01, FU-PRV-02, FU-PRV-03</t>
  </si>
  <si>
    <t xml:space="preserve">A.5.35</t>
  </si>
  <si>
    <t xml:space="preserve">Independent review of information security</t>
  </si>
  <si>
    <t xml:space="preserve">A.6.1</t>
  </si>
  <si>
    <t xml:space="preserve">Screening</t>
  </si>
  <si>
    <t xml:space="preserve">People</t>
  </si>
  <si>
    <t xml:space="preserve">FU-PPL-01, FU-PPL-02, FU-PPL-03</t>
  </si>
  <si>
    <t xml:space="preserve">A.6.3</t>
  </si>
  <si>
    <t xml:space="preserve">Information security awareness, education and training</t>
  </si>
  <si>
    <t xml:space="preserve">A.7.1</t>
  </si>
  <si>
    <t xml:space="preserve">Physical security perimeters</t>
  </si>
  <si>
    <t xml:space="preserve">Physical</t>
  </si>
  <si>
    <t xml:space="preserve">FU-PHY-01, FU-PHY-02</t>
  </si>
  <si>
    <t xml:space="preserve">A.7.2</t>
  </si>
  <si>
    <t xml:space="preserve">Physical entry</t>
  </si>
  <si>
    <t xml:space="preserve">A.8.1</t>
  </si>
  <si>
    <t xml:space="preserve">User endpoint devices</t>
  </si>
  <si>
    <t xml:space="preserve">Technological</t>
  </si>
  <si>
    <t xml:space="preserve">A.8.2</t>
  </si>
  <si>
    <t xml:space="preserve">Privileged access rights</t>
  </si>
  <si>
    <t xml:space="preserve">A.8.4</t>
  </si>
  <si>
    <t xml:space="preserve">Access to source code</t>
  </si>
  <si>
    <t xml:space="preserve">Management of technical vulnerabilities</t>
  </si>
  <si>
    <t xml:space="preserve">FU-VUL-01, FU-VUL-02, FU-VUL-03</t>
  </si>
  <si>
    <t xml:space="preserve">A.8.9</t>
  </si>
  <si>
    <t xml:space="preserve">Configuration management</t>
  </si>
  <si>
    <t xml:space="preserve">FU-CLD-01, FU-CLD-02, FU-CLD-04, FU-CHG-01, FU-CHG-02, FU-CHG-03, FU-INF-01, FU-INF-02</t>
  </si>
  <si>
    <t xml:space="preserve">A.8.11</t>
  </si>
  <si>
    <t xml:space="preserve">Data masking</t>
  </si>
  <si>
    <t xml:space="preserve">A.8.12</t>
  </si>
  <si>
    <t xml:space="preserve">Data leakage prevention</t>
  </si>
  <si>
    <t xml:space="preserve">FU-DAT-01, FU-DAT-03, FU-DAT-04</t>
  </si>
  <si>
    <t xml:space="preserve">Information backup</t>
  </si>
  <si>
    <t xml:space="preserve">FU-DAT-01, FU-DAT-03, FU-DAT-04, FU-BCD-01, FU-BCD-02, FU-BCD-03, FU-BCD-04</t>
  </si>
  <si>
    <t xml:space="preserve">A.8.14</t>
  </si>
  <si>
    <t xml:space="preserve">Redundancy of information processing facilities</t>
  </si>
  <si>
    <t xml:space="preserve">A.8.15</t>
  </si>
  <si>
    <t xml:space="preserve">Logging</t>
  </si>
  <si>
    <t xml:space="preserve">A.8.16</t>
  </si>
  <si>
    <t xml:space="preserve">Monitoring activities</t>
  </si>
  <si>
    <t xml:space="preserve">A.8.20</t>
  </si>
  <si>
    <t xml:space="preserve">Networks security</t>
  </si>
  <si>
    <t xml:space="preserve">FU-NET-01, FU-NET-02, FU-NET-03, FU-INF-01, FU-INF-02</t>
  </si>
  <si>
    <t xml:space="preserve">A.8.22</t>
  </si>
  <si>
    <t xml:space="preserve">Segregation of networks</t>
  </si>
  <si>
    <t xml:space="preserve">FU-NET-01, FU-NET-02, FU-NET-03</t>
  </si>
  <si>
    <t xml:space="preserve">Use of cryptography</t>
  </si>
  <si>
    <t xml:space="preserve">FU-CRY-01, FU-CRY-02, FU-CRY-03</t>
  </si>
  <si>
    <t xml:space="preserve">A.8.25</t>
  </si>
  <si>
    <t xml:space="preserve">Secure development life cycle</t>
  </si>
  <si>
    <t xml:space="preserve">FU-APP-01, FU-APP-02, FU-APP-03, FU-APP-04, FU-APP-05, FU-APP-06, FU-APP-07</t>
  </si>
  <si>
    <t xml:space="preserve">A.8.28</t>
  </si>
  <si>
    <t xml:space="preserve">Secure coding</t>
  </si>
  <si>
    <t xml:space="preserve">FU-APP-01, FU-APP-02, FU-APP-03, FU-APP-05, FU-APP-06, FU-APP-07</t>
  </si>
  <si>
    <t xml:space="preserve">A.8.29</t>
  </si>
  <si>
    <t xml:space="preserve">Security testing in development and acceptance</t>
  </si>
  <si>
    <t xml:space="preserve">FU-APP-01, FU-APP-02, FU-APP-03, FU-APP-05, FU-APP-06, FU-APP-07, FU-VUL-01, FU-VUL-02</t>
  </si>
  <si>
    <t xml:space="preserve">A.8.32</t>
  </si>
  <si>
    <t xml:space="preserve">Change management</t>
  </si>
  <si>
    <t xml:space="preserve">FU-APP-04, FU-CHG-01, FU-CHG-02, FU-CHG-03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</si>
</sst>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2F3B4C"/>
        <bgColor rgb="FF333300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7C1C1"/>
        </patternFill>
      </fill>
    </dxf>
    <dxf>
      <fill>
        <patternFill>
          <bgColor rgb="FFFAC775"/>
        </patternFill>
      </fill>
    </dxf>
    <dxf>
      <fill>
        <patternFill>
          <bgColor rgb="FFC0DD97"/>
        </patternFill>
      </fill>
    </dxf>
    <dxf>
      <fill>
        <patternFill>
          <bgColor rgb="FFE24B4A"/>
        </patternFill>
      </fill>
    </dxf>
    <dxf>
      <fill>
        <patternFill>
          <bgColor rgb="FFD9EAB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EDEDED"/>
      <rgbColor rgb="FF660066"/>
      <rgbColor rgb="FFFF8080"/>
      <rgbColor rgb="FF0066CC"/>
      <rgbColor rgb="FFC0DD9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B8"/>
      <rgbColor rgb="FFFFFF99"/>
      <rgbColor rgb="FF99CCFF"/>
      <rgbColor rgb="FFF7C1C1"/>
      <rgbColor rgb="FFCC99FF"/>
      <rgbColor rgb="FFFAC775"/>
      <rgbColor rgb="FF3366FF"/>
      <rgbColor rgb="FF33CCCC"/>
      <rgbColor rgb="FF99CC00"/>
      <rgbColor rgb="FFFFCC00"/>
      <rgbColor rgb="FFFF9900"/>
      <rgbColor rgb="FFE24B4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48.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23.8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23.85" hidden="false" customHeight="false" outlineLevel="0" collapsed="false">
      <c r="A5" s="2" t="s">
        <v>7</v>
      </c>
      <c r="B5" s="3" t="s">
        <v>8</v>
      </c>
    </row>
    <row r="6" customFormat="false" ht="35.05" hidden="false" customHeight="false" outlineLevel="0" collapsed="false">
      <c r="A6" s="2" t="s">
        <v>9</v>
      </c>
      <c r="B6" s="3" t="s">
        <v>10</v>
      </c>
    </row>
    <row r="7" customFormat="false" ht="35.05" hidden="false" customHeight="false" outlineLevel="0" collapsed="false">
      <c r="A7" s="2" t="s">
        <v>11</v>
      </c>
      <c r="B7" s="3" t="s">
        <v>12</v>
      </c>
    </row>
    <row r="8" customFormat="false" ht="23.85" hidden="false" customHeight="false" outlineLevel="0" collapsed="false">
      <c r="A8" s="2" t="s">
        <v>13</v>
      </c>
      <c r="B8" s="3" t="s">
        <v>14</v>
      </c>
    </row>
    <row r="9" customFormat="false" ht="23.85" hidden="false" customHeight="false" outlineLevel="0" collapsed="false">
      <c r="A9" s="2" t="s">
        <v>15</v>
      </c>
      <c r="B9" s="3" t="s">
        <v>16</v>
      </c>
    </row>
    <row r="10" customFormat="false" ht="23.85" hidden="false" customHeight="false" outlineLevel="0" collapsed="false">
      <c r="A10" s="2" t="s">
        <v>17</v>
      </c>
      <c r="B10" s="3" t="s">
        <v>18</v>
      </c>
    </row>
    <row r="11" customFormat="false" ht="15" hidden="false" customHeight="false" outlineLevel="0" collapsed="false">
      <c r="A11" s="2" t="s">
        <v>19</v>
      </c>
      <c r="B11" s="3" t="s">
        <v>20</v>
      </c>
    </row>
    <row r="14" customFormat="false" ht="15" hidden="false" customHeight="false" outlineLevel="0" collapsed="false">
      <c r="A14" s="4" t="s">
        <v>21</v>
      </c>
      <c r="B14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6" t="s">
        <v>23</v>
      </c>
    </row>
    <row r="2" customFormat="false" ht="15" hidden="false" customHeight="false" outlineLevel="0" collapsed="false">
      <c r="A2" s="7" t="s">
        <v>24</v>
      </c>
    </row>
    <row r="4" customFormat="false" ht="15" hidden="false" customHeight="false" outlineLevel="0" collapsed="false">
      <c r="A4" s="8" t="s">
        <v>25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</row>
    <row r="5" customFormat="false" ht="15" hidden="false" customHeight="false" outlineLevel="0" collapsed="false">
      <c r="A5" s="9" t="s">
        <v>31</v>
      </c>
      <c r="B5" s="9" t="n">
        <f aca="false">COUNTIF('Follow-up questions'!$B$4:$B$68,$A5)</f>
        <v>5</v>
      </c>
      <c r="C5" s="9" t="n">
        <f aca="false">COUNTIFS('Follow-up questions'!$B$4:$B$68,$A5,'Follow-up questions'!$K$4:$K$68,"Satisfactory")</f>
        <v>3</v>
      </c>
      <c r="D5" s="9" t="n">
        <f aca="false">COUNTIFS('Follow-up questions'!$B$4:$B$68,$A5,'Follow-up questions'!$K$4:$K$68,"Partial")</f>
        <v>2</v>
      </c>
      <c r="E5" s="9" t="n">
        <f aca="false">COUNTIFS('Follow-up questions'!$B$4:$B$68,$A5,'Follow-up questions'!$K$4:$K$68,"Gap")</f>
        <v>0</v>
      </c>
      <c r="F5" s="9" t="n">
        <f aca="false">COUNTIFS('Follow-up questions'!$B$4:$B$68,$A5,'Follow-up questions'!$K$4:$K$68,"Not assessed")</f>
        <v>0</v>
      </c>
    </row>
    <row r="6" customFormat="false" ht="15" hidden="false" customHeight="false" outlineLevel="0" collapsed="false">
      <c r="A6" s="9" t="s">
        <v>32</v>
      </c>
      <c r="B6" s="9" t="n">
        <f aca="false">COUNTIF('Follow-up questions'!$B$4:$B$68,$A6)</f>
        <v>4</v>
      </c>
      <c r="C6" s="9" t="n">
        <f aca="false">COUNTIFS('Follow-up questions'!$B$4:$B$68,$A6,'Follow-up questions'!$K$4:$K$68,"Satisfactory")</f>
        <v>1</v>
      </c>
      <c r="D6" s="9" t="n">
        <f aca="false">COUNTIFS('Follow-up questions'!$B$4:$B$68,$A6,'Follow-up questions'!$K$4:$K$68,"Partial")</f>
        <v>2</v>
      </c>
      <c r="E6" s="9" t="n">
        <f aca="false">COUNTIFS('Follow-up questions'!$B$4:$B$68,$A6,'Follow-up questions'!$K$4:$K$68,"Gap")</f>
        <v>1</v>
      </c>
      <c r="F6" s="9" t="n">
        <f aca="false">COUNTIFS('Follow-up questions'!$B$4:$B$68,$A6,'Follow-up questions'!$K$4:$K$68,"Not assessed")</f>
        <v>0</v>
      </c>
    </row>
    <row r="7" customFormat="false" ht="15" hidden="false" customHeight="false" outlineLevel="0" collapsed="false">
      <c r="A7" s="9" t="s">
        <v>33</v>
      </c>
      <c r="B7" s="9" t="n">
        <f aca="false">COUNTIF('Follow-up questions'!$B$4:$B$68,$A7)</f>
        <v>3</v>
      </c>
      <c r="C7" s="9" t="n">
        <f aca="false">COUNTIFS('Follow-up questions'!$B$4:$B$68,$A7,'Follow-up questions'!$K$4:$K$68,"Satisfactory")</f>
        <v>1</v>
      </c>
      <c r="D7" s="9" t="n">
        <f aca="false">COUNTIFS('Follow-up questions'!$B$4:$B$68,$A7,'Follow-up questions'!$K$4:$K$68,"Partial")</f>
        <v>1</v>
      </c>
      <c r="E7" s="9" t="n">
        <f aca="false">COUNTIFS('Follow-up questions'!$B$4:$B$68,$A7,'Follow-up questions'!$K$4:$K$68,"Gap")</f>
        <v>1</v>
      </c>
      <c r="F7" s="9" t="n">
        <f aca="false">COUNTIFS('Follow-up questions'!$B$4:$B$68,$A7,'Follow-up questions'!$K$4:$K$68,"Not assessed")</f>
        <v>0</v>
      </c>
    </row>
    <row r="8" customFormat="false" ht="15" hidden="false" customHeight="false" outlineLevel="0" collapsed="false">
      <c r="A8" s="9" t="s">
        <v>34</v>
      </c>
      <c r="B8" s="9" t="n">
        <f aca="false">COUNTIF('Follow-up questions'!$B$4:$B$68,$A8)</f>
        <v>7</v>
      </c>
      <c r="C8" s="9" t="n">
        <f aca="false">COUNTIFS('Follow-up questions'!$B$4:$B$68,$A8,'Follow-up questions'!$K$4:$K$68,"Satisfactory")</f>
        <v>2</v>
      </c>
      <c r="D8" s="9" t="n">
        <f aca="false">COUNTIFS('Follow-up questions'!$B$4:$B$68,$A8,'Follow-up questions'!$K$4:$K$68,"Partial")</f>
        <v>5</v>
      </c>
      <c r="E8" s="9" t="n">
        <f aca="false">COUNTIFS('Follow-up questions'!$B$4:$B$68,$A8,'Follow-up questions'!$K$4:$K$68,"Gap")</f>
        <v>0</v>
      </c>
      <c r="F8" s="9" t="n">
        <f aca="false">COUNTIFS('Follow-up questions'!$B$4:$B$68,$A8,'Follow-up questions'!$K$4:$K$68,"Not assessed")</f>
        <v>0</v>
      </c>
    </row>
    <row r="9" customFormat="false" ht="15" hidden="false" customHeight="false" outlineLevel="0" collapsed="false">
      <c r="A9" s="9" t="s">
        <v>35</v>
      </c>
      <c r="B9" s="9" t="n">
        <f aca="false">COUNTIF('Follow-up questions'!$B$4:$B$68,$A9)</f>
        <v>4</v>
      </c>
      <c r="C9" s="9" t="n">
        <f aca="false">COUNTIFS('Follow-up questions'!$B$4:$B$68,$A9,'Follow-up questions'!$K$4:$K$68,"Satisfactory")</f>
        <v>3</v>
      </c>
      <c r="D9" s="9" t="n">
        <f aca="false">COUNTIFS('Follow-up questions'!$B$4:$B$68,$A9,'Follow-up questions'!$K$4:$K$68,"Partial")</f>
        <v>0</v>
      </c>
      <c r="E9" s="9" t="n">
        <f aca="false">COUNTIFS('Follow-up questions'!$B$4:$B$68,$A9,'Follow-up questions'!$K$4:$K$68,"Gap")</f>
        <v>1</v>
      </c>
      <c r="F9" s="9" t="n">
        <f aca="false">COUNTIFS('Follow-up questions'!$B$4:$B$68,$A9,'Follow-up questions'!$K$4:$K$68,"Not assessed")</f>
        <v>0</v>
      </c>
    </row>
    <row r="10" customFormat="false" ht="15" hidden="false" customHeight="false" outlineLevel="0" collapsed="false">
      <c r="A10" s="9" t="s">
        <v>36</v>
      </c>
      <c r="B10" s="9" t="n">
        <f aca="false">COUNTIF('Follow-up questions'!$B$4:$B$68,$A10)</f>
        <v>3</v>
      </c>
      <c r="C10" s="9" t="n">
        <f aca="false">COUNTIFS('Follow-up questions'!$B$4:$B$68,$A10,'Follow-up questions'!$K$4:$K$68,"Satisfactory")</f>
        <v>3</v>
      </c>
      <c r="D10" s="9" t="n">
        <f aca="false">COUNTIFS('Follow-up questions'!$B$4:$B$68,$A10,'Follow-up questions'!$K$4:$K$68,"Partial")</f>
        <v>0</v>
      </c>
      <c r="E10" s="9" t="n">
        <f aca="false">COUNTIFS('Follow-up questions'!$B$4:$B$68,$A10,'Follow-up questions'!$K$4:$K$68,"Gap")</f>
        <v>0</v>
      </c>
      <c r="F10" s="9" t="n">
        <f aca="false">COUNTIFS('Follow-up questions'!$B$4:$B$68,$A10,'Follow-up questions'!$K$4:$K$68,"Not assessed")</f>
        <v>0</v>
      </c>
    </row>
    <row r="11" customFormat="false" ht="15" hidden="false" customHeight="false" outlineLevel="0" collapsed="false">
      <c r="A11" s="9" t="s">
        <v>37</v>
      </c>
      <c r="B11" s="9" t="n">
        <f aca="false">COUNTIF('Follow-up questions'!$B$4:$B$68,$A11)</f>
        <v>4</v>
      </c>
      <c r="C11" s="9" t="n">
        <f aca="false">COUNTIFS('Follow-up questions'!$B$4:$B$68,$A11,'Follow-up questions'!$K$4:$K$68,"Satisfactory")</f>
        <v>0</v>
      </c>
      <c r="D11" s="9" t="n">
        <f aca="false">COUNTIFS('Follow-up questions'!$B$4:$B$68,$A11,'Follow-up questions'!$K$4:$K$68,"Partial")</f>
        <v>3</v>
      </c>
      <c r="E11" s="9" t="n">
        <f aca="false">COUNTIFS('Follow-up questions'!$B$4:$B$68,$A11,'Follow-up questions'!$K$4:$K$68,"Gap")</f>
        <v>0</v>
      </c>
      <c r="F11" s="9" t="n">
        <f aca="false">COUNTIFS('Follow-up questions'!$B$4:$B$68,$A11,'Follow-up questions'!$K$4:$K$68,"Not assessed")</f>
        <v>1</v>
      </c>
    </row>
    <row r="12" customFormat="false" ht="15" hidden="false" customHeight="false" outlineLevel="0" collapsed="false">
      <c r="A12" s="9" t="s">
        <v>38</v>
      </c>
      <c r="B12" s="9" t="n">
        <f aca="false">COUNTIF('Follow-up questions'!$B$4:$B$68,$A12)</f>
        <v>4</v>
      </c>
      <c r="C12" s="9" t="n">
        <f aca="false">COUNTIFS('Follow-up questions'!$B$4:$B$68,$A12,'Follow-up questions'!$K$4:$K$68,"Satisfactory")</f>
        <v>1</v>
      </c>
      <c r="D12" s="9" t="n">
        <f aca="false">COUNTIFS('Follow-up questions'!$B$4:$B$68,$A12,'Follow-up questions'!$K$4:$K$68,"Partial")</f>
        <v>2</v>
      </c>
      <c r="E12" s="9" t="n">
        <f aca="false">COUNTIFS('Follow-up questions'!$B$4:$B$68,$A12,'Follow-up questions'!$K$4:$K$68,"Gap")</f>
        <v>1</v>
      </c>
      <c r="F12" s="9" t="n">
        <f aca="false">COUNTIFS('Follow-up questions'!$B$4:$B$68,$A12,'Follow-up questions'!$K$4:$K$68,"Not assessed")</f>
        <v>0</v>
      </c>
    </row>
    <row r="13" customFormat="false" ht="15" hidden="false" customHeight="false" outlineLevel="0" collapsed="false">
      <c r="A13" s="9" t="s">
        <v>39</v>
      </c>
      <c r="B13" s="9" t="n">
        <f aca="false">COUNTIF('Follow-up questions'!$B$4:$B$68,$A13)</f>
        <v>3</v>
      </c>
      <c r="C13" s="9" t="n">
        <f aca="false">COUNTIFS('Follow-up questions'!$B$4:$B$68,$A13,'Follow-up questions'!$K$4:$K$68,"Satisfactory")</f>
        <v>1</v>
      </c>
      <c r="D13" s="9" t="n">
        <f aca="false">COUNTIFS('Follow-up questions'!$B$4:$B$68,$A13,'Follow-up questions'!$K$4:$K$68,"Partial")</f>
        <v>1</v>
      </c>
      <c r="E13" s="9" t="n">
        <f aca="false">COUNTIFS('Follow-up questions'!$B$4:$B$68,$A13,'Follow-up questions'!$K$4:$K$68,"Gap")</f>
        <v>1</v>
      </c>
      <c r="F13" s="9" t="n">
        <f aca="false">COUNTIFS('Follow-up questions'!$B$4:$B$68,$A13,'Follow-up questions'!$K$4:$K$68,"Not assessed")</f>
        <v>0</v>
      </c>
    </row>
    <row r="14" customFormat="false" ht="15" hidden="false" customHeight="false" outlineLevel="0" collapsed="false">
      <c r="A14" s="9" t="s">
        <v>40</v>
      </c>
      <c r="B14" s="9" t="n">
        <f aca="false">COUNTIF('Follow-up questions'!$B$4:$B$68,$A14)</f>
        <v>3</v>
      </c>
      <c r="C14" s="9" t="n">
        <f aca="false">COUNTIFS('Follow-up questions'!$B$4:$B$68,$A14,'Follow-up questions'!$K$4:$K$68,"Satisfactory")</f>
        <v>2</v>
      </c>
      <c r="D14" s="9" t="n">
        <f aca="false">COUNTIFS('Follow-up questions'!$B$4:$B$68,$A14,'Follow-up questions'!$K$4:$K$68,"Partial")</f>
        <v>1</v>
      </c>
      <c r="E14" s="9" t="n">
        <f aca="false">COUNTIFS('Follow-up questions'!$B$4:$B$68,$A14,'Follow-up questions'!$K$4:$K$68,"Gap")</f>
        <v>0</v>
      </c>
      <c r="F14" s="9" t="n">
        <f aca="false">COUNTIFS('Follow-up questions'!$B$4:$B$68,$A14,'Follow-up questions'!$K$4:$K$68,"Not assessed")</f>
        <v>0</v>
      </c>
    </row>
    <row r="15" customFormat="false" ht="15" hidden="false" customHeight="false" outlineLevel="0" collapsed="false">
      <c r="A15" s="9" t="s">
        <v>41</v>
      </c>
      <c r="B15" s="9" t="n">
        <f aca="false">COUNTIF('Follow-up questions'!$B$4:$B$68,$A15)</f>
        <v>4</v>
      </c>
      <c r="C15" s="9" t="n">
        <f aca="false">COUNTIFS('Follow-up questions'!$B$4:$B$68,$A15,'Follow-up questions'!$K$4:$K$68,"Satisfactory")</f>
        <v>1</v>
      </c>
      <c r="D15" s="9" t="n">
        <f aca="false">COUNTIFS('Follow-up questions'!$B$4:$B$68,$A15,'Follow-up questions'!$K$4:$K$68,"Partial")</f>
        <v>3</v>
      </c>
      <c r="E15" s="9" t="n">
        <f aca="false">COUNTIFS('Follow-up questions'!$B$4:$B$68,$A15,'Follow-up questions'!$K$4:$K$68,"Gap")</f>
        <v>0</v>
      </c>
      <c r="F15" s="9" t="n">
        <f aca="false">COUNTIFS('Follow-up questions'!$B$4:$B$68,$A15,'Follow-up questions'!$K$4:$K$68,"Not assessed")</f>
        <v>0</v>
      </c>
    </row>
    <row r="16" customFormat="false" ht="15" hidden="false" customHeight="false" outlineLevel="0" collapsed="false">
      <c r="A16" s="9" t="s">
        <v>42</v>
      </c>
      <c r="B16" s="9" t="n">
        <f aca="false">COUNTIF('Follow-up questions'!$B$4:$B$68,$A16)</f>
        <v>4</v>
      </c>
      <c r="C16" s="9" t="n">
        <f aca="false">COUNTIFS('Follow-up questions'!$B$4:$B$68,$A16,'Follow-up questions'!$K$4:$K$68,"Satisfactory")</f>
        <v>2</v>
      </c>
      <c r="D16" s="9" t="n">
        <f aca="false">COUNTIFS('Follow-up questions'!$B$4:$B$68,$A16,'Follow-up questions'!$K$4:$K$68,"Partial")</f>
        <v>1</v>
      </c>
      <c r="E16" s="9" t="n">
        <f aca="false">COUNTIFS('Follow-up questions'!$B$4:$B$68,$A16,'Follow-up questions'!$K$4:$K$68,"Gap")</f>
        <v>1</v>
      </c>
      <c r="F16" s="9" t="n">
        <f aca="false">COUNTIFS('Follow-up questions'!$B$4:$B$68,$A16,'Follow-up questions'!$K$4:$K$68,"Not assessed")</f>
        <v>0</v>
      </c>
    </row>
    <row r="17" customFormat="false" ht="15" hidden="false" customHeight="false" outlineLevel="0" collapsed="false">
      <c r="A17" s="9" t="s">
        <v>43</v>
      </c>
      <c r="B17" s="9" t="n">
        <f aca="false">COUNTIF('Follow-up questions'!$B$4:$B$68,$A17)</f>
        <v>3</v>
      </c>
      <c r="C17" s="9" t="n">
        <f aca="false">COUNTIFS('Follow-up questions'!$B$4:$B$68,$A17,'Follow-up questions'!$K$4:$K$68,"Satisfactory")</f>
        <v>2</v>
      </c>
      <c r="D17" s="9" t="n">
        <f aca="false">COUNTIFS('Follow-up questions'!$B$4:$B$68,$A17,'Follow-up questions'!$K$4:$K$68,"Partial")</f>
        <v>1</v>
      </c>
      <c r="E17" s="9" t="n">
        <f aca="false">COUNTIFS('Follow-up questions'!$B$4:$B$68,$A17,'Follow-up questions'!$K$4:$K$68,"Gap")</f>
        <v>0</v>
      </c>
      <c r="F17" s="9" t="n">
        <f aca="false">COUNTIFS('Follow-up questions'!$B$4:$B$68,$A17,'Follow-up questions'!$K$4:$K$68,"Not assessed")</f>
        <v>0</v>
      </c>
    </row>
    <row r="18" customFormat="false" ht="15" hidden="false" customHeight="false" outlineLevel="0" collapsed="false">
      <c r="A18" s="9" t="s">
        <v>44</v>
      </c>
      <c r="B18" s="9" t="n">
        <f aca="false">COUNTIF('Follow-up questions'!$B$4:$B$68,$A18)</f>
        <v>4</v>
      </c>
      <c r="C18" s="9" t="n">
        <f aca="false">COUNTIFS('Follow-up questions'!$B$4:$B$68,$A18,'Follow-up questions'!$K$4:$K$68,"Satisfactory")</f>
        <v>2</v>
      </c>
      <c r="D18" s="9" t="n">
        <f aca="false">COUNTIFS('Follow-up questions'!$B$4:$B$68,$A18,'Follow-up questions'!$K$4:$K$68,"Partial")</f>
        <v>1</v>
      </c>
      <c r="E18" s="9" t="n">
        <f aca="false">COUNTIFS('Follow-up questions'!$B$4:$B$68,$A18,'Follow-up questions'!$K$4:$K$68,"Gap")</f>
        <v>1</v>
      </c>
      <c r="F18" s="9" t="n">
        <f aca="false">COUNTIFS('Follow-up questions'!$B$4:$B$68,$A18,'Follow-up questions'!$K$4:$K$68,"Not assessed")</f>
        <v>0</v>
      </c>
    </row>
    <row r="19" customFormat="false" ht="15" hidden="false" customHeight="false" outlineLevel="0" collapsed="false">
      <c r="A19" s="9" t="s">
        <v>45</v>
      </c>
      <c r="B19" s="9" t="n">
        <f aca="false">COUNTIF('Follow-up questions'!$B$4:$B$68,$A19)</f>
        <v>3</v>
      </c>
      <c r="C19" s="9" t="n">
        <f aca="false">COUNTIFS('Follow-up questions'!$B$4:$B$68,$A19,'Follow-up questions'!$K$4:$K$68,"Satisfactory")</f>
        <v>2</v>
      </c>
      <c r="D19" s="9" t="n">
        <f aca="false">COUNTIFS('Follow-up questions'!$B$4:$B$68,$A19,'Follow-up questions'!$K$4:$K$68,"Partial")</f>
        <v>1</v>
      </c>
      <c r="E19" s="9" t="n">
        <f aca="false">COUNTIFS('Follow-up questions'!$B$4:$B$68,$A19,'Follow-up questions'!$K$4:$K$68,"Gap")</f>
        <v>0</v>
      </c>
      <c r="F19" s="9" t="n">
        <f aca="false">COUNTIFS('Follow-up questions'!$B$4:$B$68,$A19,'Follow-up questions'!$K$4:$K$68,"Not assessed")</f>
        <v>0</v>
      </c>
    </row>
    <row r="20" customFormat="false" ht="15" hidden="false" customHeight="false" outlineLevel="0" collapsed="false">
      <c r="A20" s="9" t="s">
        <v>46</v>
      </c>
      <c r="B20" s="9" t="n">
        <f aca="false">COUNTIF('Follow-up questions'!$B$4:$B$68,$A20)</f>
        <v>3</v>
      </c>
      <c r="C20" s="9" t="n">
        <f aca="false">COUNTIFS('Follow-up questions'!$B$4:$B$68,$A20,'Follow-up questions'!$K$4:$K$68,"Satisfactory")</f>
        <v>2</v>
      </c>
      <c r="D20" s="9" t="n">
        <f aca="false">COUNTIFS('Follow-up questions'!$B$4:$B$68,$A20,'Follow-up questions'!$K$4:$K$68,"Partial")</f>
        <v>1</v>
      </c>
      <c r="E20" s="9" t="n">
        <f aca="false">COUNTIFS('Follow-up questions'!$B$4:$B$68,$A20,'Follow-up questions'!$K$4:$K$68,"Gap")</f>
        <v>0</v>
      </c>
      <c r="F20" s="9" t="n">
        <f aca="false">COUNTIFS('Follow-up questions'!$B$4:$B$68,$A20,'Follow-up questions'!$K$4:$K$68,"Not assessed")</f>
        <v>0</v>
      </c>
    </row>
    <row r="21" customFormat="false" ht="15" hidden="false" customHeight="false" outlineLevel="0" collapsed="false">
      <c r="A21" s="9" t="s">
        <v>47</v>
      </c>
      <c r="B21" s="9" t="n">
        <f aca="false">COUNTIF('Follow-up questions'!$B$4:$B$68,$A21)</f>
        <v>2</v>
      </c>
      <c r="C21" s="9" t="n">
        <f aca="false">COUNTIFS('Follow-up questions'!$B$4:$B$68,$A21,'Follow-up questions'!$K$4:$K$68,"Satisfactory")</f>
        <v>2</v>
      </c>
      <c r="D21" s="9" t="n">
        <f aca="false">COUNTIFS('Follow-up questions'!$B$4:$B$68,$A21,'Follow-up questions'!$K$4:$K$68,"Partial")</f>
        <v>0</v>
      </c>
      <c r="E21" s="9" t="n">
        <f aca="false">COUNTIFS('Follow-up questions'!$B$4:$B$68,$A21,'Follow-up questions'!$K$4:$K$68,"Gap")</f>
        <v>0</v>
      </c>
      <c r="F21" s="9" t="n">
        <f aca="false">COUNTIFS('Follow-up questions'!$B$4:$B$68,$A21,'Follow-up questions'!$K$4:$K$68,"Not assessed")</f>
        <v>0</v>
      </c>
    </row>
    <row r="22" customFormat="false" ht="15" hidden="false" customHeight="false" outlineLevel="0" collapsed="false">
      <c r="A22" s="9" t="s">
        <v>48</v>
      </c>
      <c r="B22" s="9" t="n">
        <f aca="false">COUNTIF('Follow-up questions'!$B$4:$B$68,$A22)</f>
        <v>2</v>
      </c>
      <c r="C22" s="9" t="n">
        <f aca="false">COUNTIFS('Follow-up questions'!$B$4:$B$68,$A22,'Follow-up questions'!$K$4:$K$68,"Satisfactory")</f>
        <v>0</v>
      </c>
      <c r="D22" s="9" t="n">
        <f aca="false">COUNTIFS('Follow-up questions'!$B$4:$B$68,$A22,'Follow-up questions'!$K$4:$K$68,"Partial")</f>
        <v>1</v>
      </c>
      <c r="E22" s="9" t="n">
        <f aca="false">COUNTIFS('Follow-up questions'!$B$4:$B$68,$A22,'Follow-up questions'!$K$4:$K$68,"Gap")</f>
        <v>0</v>
      </c>
      <c r="F22" s="9" t="n">
        <f aca="false">COUNTIFS('Follow-up questions'!$B$4:$B$68,$A22,'Follow-up questions'!$K$4:$K$68,"Not assessed")</f>
        <v>1</v>
      </c>
    </row>
    <row r="23" customFormat="false" ht="15" hidden="false" customHeight="false" outlineLevel="0" collapsed="false">
      <c r="A23" s="10" t="s">
        <v>49</v>
      </c>
      <c r="B23" s="10" t="n">
        <f aca="false">SUM(B5:B22)</f>
        <v>65</v>
      </c>
      <c r="C23" s="10" t="n">
        <f aca="false">SUM(C5:C22)</f>
        <v>30</v>
      </c>
      <c r="D23" s="10" t="n">
        <f aca="false">SUM(D5:D22)</f>
        <v>26</v>
      </c>
      <c r="E23" s="10" t="n">
        <f aca="false">SUM(E5:E22)</f>
        <v>7</v>
      </c>
      <c r="F23" s="10" t="n">
        <f aca="false">SUM(F5:F22)</f>
        <v>2</v>
      </c>
    </row>
    <row r="26" customFormat="false" ht="15" hidden="false" customHeight="false" outlineLevel="0" collapsed="false">
      <c r="A26" s="11" t="s">
        <v>50</v>
      </c>
    </row>
    <row r="27" customFormat="false" ht="15" hidden="false" customHeight="false" outlineLevel="0" collapsed="false">
      <c r="A27" s="5" t="s">
        <v>51</v>
      </c>
      <c r="B27" s="5" t="n">
        <f aca="false">COUNTIF('Follow-up questions'!$J$4:$J$68,"Full")</f>
        <v>51</v>
      </c>
    </row>
    <row r="28" customFormat="false" ht="15" hidden="false" customHeight="false" outlineLevel="0" collapsed="false">
      <c r="A28" s="5" t="s">
        <v>28</v>
      </c>
      <c r="B28" s="5" t="n">
        <f aca="false">COUNTIF('Follow-up questions'!$J$4:$J$68,"Partial")</f>
        <v>11</v>
      </c>
    </row>
    <row r="29" customFormat="false" ht="15" hidden="false" customHeight="false" outlineLevel="0" collapsed="false">
      <c r="A29" s="5" t="s">
        <v>52</v>
      </c>
      <c r="B29" s="5" t="n">
        <f aca="false">COUNTIF('Follow-up questions'!$J$4:$J$68,"Declined")</f>
        <v>1</v>
      </c>
    </row>
    <row r="30" customFormat="false" ht="15" hidden="false" customHeight="false" outlineLevel="0" collapsed="false">
      <c r="A30" s="5" t="s">
        <v>53</v>
      </c>
      <c r="B30" s="5" t="n">
        <f aca="false">COUNTIF('Follow-up questions'!$J$4:$J$68,"No reply")</f>
        <v>2</v>
      </c>
    </row>
    <row r="33" customFormat="false" ht="15" hidden="false" customHeight="false" outlineLevel="0" collapsed="false">
      <c r="A33" s="11" t="s">
        <v>54</v>
      </c>
    </row>
    <row r="34" customFormat="false" ht="15" hidden="false" customHeight="false" outlineLevel="0" collapsed="false">
      <c r="A34" s="5" t="s">
        <v>55</v>
      </c>
      <c r="B34" s="5" t="n">
        <f aca="false">COUNTIF(Findings!$E$5:$E$26,"Closed")</f>
        <v>8</v>
      </c>
    </row>
    <row r="35" customFormat="false" ht="15" hidden="false" customHeight="false" outlineLevel="0" collapsed="false">
      <c r="A35" s="5" t="s">
        <v>56</v>
      </c>
      <c r="B35" s="5" t="n">
        <f aca="false">COUNTIF(Findings!$E$5:$E$26,"Closed for go-live scope")</f>
        <v>2</v>
      </c>
    </row>
    <row r="36" customFormat="false" ht="15" hidden="false" customHeight="false" outlineLevel="0" collapsed="false">
      <c r="A36" s="5" t="s">
        <v>57</v>
      </c>
      <c r="B36" s="5" t="n">
        <f aca="false">COUNTIF(Findings!$E$5:$E$26,"Risk accepted (signed)")</f>
        <v>1</v>
      </c>
    </row>
    <row r="37" customFormat="false" ht="15" hidden="false" customHeight="false" outlineLevel="0" collapsed="false">
      <c r="A37" s="5" t="s">
        <v>58</v>
      </c>
      <c r="B37" s="5" t="n">
        <f aca="false">COUNTIF(Findings!$E$5:$E$26,"Partly closed")</f>
        <v>6</v>
      </c>
    </row>
    <row r="38" customFormat="false" ht="15" hidden="false" customHeight="false" outlineLevel="0" collapsed="false">
      <c r="A38" s="5" t="s">
        <v>59</v>
      </c>
      <c r="B38" s="5" t="n">
        <f aca="false">COUNTIF(Findings!$E$5:$E$26,"Open")</f>
        <v>3</v>
      </c>
    </row>
    <row r="39" customFormat="false" ht="15" hidden="false" customHeight="false" outlineLevel="0" collapsed="false">
      <c r="A39" s="5" t="s">
        <v>60</v>
      </c>
      <c r="B39" s="5" t="n">
        <f aca="false">COUNTIF(Findings!$E$5:$E$26,"Open (agreed, unsigned)")</f>
        <v>2</v>
      </c>
    </row>
    <row r="40" customFormat="false" ht="15" hidden="false" customHeight="false" outlineLevel="0" collapsed="false">
      <c r="A40" s="11" t="s">
        <v>49</v>
      </c>
      <c r="B40" s="11" t="n">
        <f aca="false">SUM(B34:B39)</f>
        <v>22</v>
      </c>
    </row>
    <row r="43" customFormat="false" ht="15" hidden="false" customHeight="false" outlineLevel="0" collapsed="false">
      <c r="A43" s="11" t="s">
        <v>61</v>
      </c>
    </row>
    <row r="44" customFormat="false" ht="15" hidden="false" customHeight="false" outlineLevel="0" collapsed="false">
      <c r="A44" s="8"/>
      <c r="B44" s="8" t="s">
        <v>62</v>
      </c>
      <c r="C44" s="8" t="s">
        <v>63</v>
      </c>
    </row>
    <row r="45" customFormat="false" ht="15" hidden="false" customHeight="false" outlineLevel="0" collapsed="false">
      <c r="A45" s="5" t="s">
        <v>64</v>
      </c>
      <c r="B45" s="5" t="n">
        <v>5</v>
      </c>
      <c r="C45" s="5" t="n">
        <f aca="false">COUNTIF(Findings!$F$5:$F$37,"High")</f>
        <v>2</v>
      </c>
    </row>
    <row r="46" customFormat="false" ht="15" hidden="false" customHeight="false" outlineLevel="0" collapsed="false">
      <c r="A46" s="5" t="s">
        <v>65</v>
      </c>
      <c r="B46" s="5" t="n">
        <v>16</v>
      </c>
      <c r="C46" s="5" t="n">
        <f aca="false">COUNTIF(Findings!$F$5:$F$37,"Medium")</f>
        <v>13</v>
      </c>
    </row>
    <row r="47" customFormat="false" ht="15" hidden="false" customHeight="false" outlineLevel="0" collapsed="false">
      <c r="A47" s="5" t="s">
        <v>66</v>
      </c>
      <c r="B47" s="5" t="n">
        <v>1</v>
      </c>
      <c r="C47" s="5" t="n">
        <f aca="false">COUNTIF(Findings!$F$5:$F$37,"Low")</f>
        <v>7</v>
      </c>
    </row>
    <row r="48" customFormat="false" ht="15" hidden="false" customHeight="false" outlineLevel="0" collapsed="false">
      <c r="A48" s="11" t="s">
        <v>49</v>
      </c>
      <c r="B48" s="11" t="n">
        <f aca="false">SUM(B45:B47)</f>
        <v>22</v>
      </c>
      <c r="C48" s="11" t="n">
        <f aca="false">SUM(C45:C47)</f>
        <v>22</v>
      </c>
    </row>
    <row r="49" customFormat="false" ht="15" hidden="false" customHeight="false" outlineLevel="0" collapsed="false">
      <c r="A49" s="5" t="s">
        <v>67</v>
      </c>
      <c r="C49" s="5" t="n">
        <f aca="false">COUNTIF(Findings!$C$5:$C$37,"New")</f>
        <v>11</v>
      </c>
    </row>
    <row r="52" customFormat="false" ht="15" hidden="false" customHeight="false" outlineLevel="0" collapsed="false">
      <c r="A52" s="11" t="s">
        <v>68</v>
      </c>
    </row>
    <row r="53" customFormat="false" ht="15" hidden="false" customHeight="false" outlineLevel="0" collapsed="false">
      <c r="A53" s="5" t="s">
        <v>69</v>
      </c>
      <c r="B53" s="5" t="n">
        <f aca="false">COUNTIF(Conditions!$C$4:$C$13,"Verified")</f>
        <v>2</v>
      </c>
    </row>
    <row r="54" customFormat="false" ht="15" hidden="false" customHeight="false" outlineLevel="0" collapsed="false">
      <c r="A54" s="5" t="s">
        <v>70</v>
      </c>
      <c r="B54" s="5" t="n">
        <f aca="false">COUNTIF(Conditions!$C$4:$C$13,"Verified with residual")</f>
        <v>2</v>
      </c>
    </row>
    <row r="55" customFormat="false" ht="15" hidden="false" customHeight="false" outlineLevel="0" collapsed="false">
      <c r="A55" s="5" t="s">
        <v>71</v>
      </c>
      <c r="B55" s="5" t="n">
        <f aca="false">COUNTIF(Conditions!$C$4:$C$13,"In progress")</f>
        <v>3</v>
      </c>
    </row>
    <row r="56" customFormat="false" ht="15" hidden="false" customHeight="false" outlineLevel="0" collapsed="false">
      <c r="A56" s="5" t="s">
        <v>72</v>
      </c>
      <c r="B56" s="5" t="n">
        <f aca="false">COUNTIF(Conditions!$C$4:$C$13,"Partly met")</f>
        <v>1</v>
      </c>
    </row>
    <row r="57" customFormat="false" ht="15" hidden="false" customHeight="false" outlineLevel="0" collapsed="false">
      <c r="A57" s="5" t="s">
        <v>73</v>
      </c>
      <c r="B57" s="5" t="n">
        <f aca="false">COUNTIF(Conditions!$C$4:$C$13,"Not met")</f>
        <v>2</v>
      </c>
    </row>
    <row r="58" customFormat="false" ht="15" hidden="false" customHeight="false" outlineLevel="0" collapsed="false">
      <c r="A58" s="11" t="s">
        <v>74</v>
      </c>
      <c r="B58" s="11" t="n">
        <f aca="false">B53+B54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4" min="3" style="0" width="1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56"/>
    <col collapsed="false" customWidth="true" hidden="false" outlineLevel="0" max="9" min="9" style="0" width="50"/>
  </cols>
  <sheetData>
    <row r="1" customFormat="false" ht="17.35" hidden="false" customHeight="false" outlineLevel="0" collapsed="false">
      <c r="A1" s="6" t="s">
        <v>75</v>
      </c>
    </row>
    <row r="2" customFormat="false" ht="15" hidden="false" customHeight="false" outlineLevel="0" collapsed="false">
      <c r="A2" s="7" t="s">
        <v>76</v>
      </c>
    </row>
    <row r="4" customFormat="false" ht="23.85" hidden="false" customHeight="fals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</row>
    <row r="5" customFormat="false" ht="23.85" hidden="false" customHeight="false" outlineLevel="0" collapsed="false">
      <c r="A5" s="12" t="s">
        <v>86</v>
      </c>
      <c r="B5" s="13" t="s">
        <v>87</v>
      </c>
      <c r="C5" s="13" t="s">
        <v>62</v>
      </c>
      <c r="D5" s="13" t="s">
        <v>64</v>
      </c>
      <c r="E5" s="13" t="s">
        <v>55</v>
      </c>
      <c r="F5" s="13" t="s">
        <v>55</v>
      </c>
      <c r="G5" s="13" t="s">
        <v>88</v>
      </c>
      <c r="H5" s="13" t="s">
        <v>89</v>
      </c>
      <c r="I5" s="13" t="s">
        <v>90</v>
      </c>
    </row>
    <row r="6" customFormat="false" ht="23.85" hidden="false" customHeight="false" outlineLevel="0" collapsed="false">
      <c r="A6" s="12" t="s">
        <v>91</v>
      </c>
      <c r="B6" s="13" t="s">
        <v>92</v>
      </c>
      <c r="C6" s="13" t="s">
        <v>62</v>
      </c>
      <c r="D6" s="13" t="s">
        <v>64</v>
      </c>
      <c r="E6" s="13" t="s">
        <v>58</v>
      </c>
      <c r="F6" s="13" t="s">
        <v>65</v>
      </c>
      <c r="G6" s="13" t="s">
        <v>93</v>
      </c>
      <c r="H6" s="13" t="s">
        <v>94</v>
      </c>
      <c r="I6" s="13" t="s">
        <v>95</v>
      </c>
    </row>
    <row r="7" customFormat="false" ht="23.85" hidden="false" customHeight="false" outlineLevel="0" collapsed="false">
      <c r="A7" s="12" t="s">
        <v>96</v>
      </c>
      <c r="B7" s="13" t="s">
        <v>97</v>
      </c>
      <c r="C7" s="13" t="s">
        <v>62</v>
      </c>
      <c r="D7" s="13" t="s">
        <v>64</v>
      </c>
      <c r="E7" s="13" t="s">
        <v>58</v>
      </c>
      <c r="F7" s="13" t="s">
        <v>65</v>
      </c>
      <c r="G7" s="13" t="s">
        <v>98</v>
      </c>
      <c r="H7" s="13" t="s">
        <v>99</v>
      </c>
      <c r="I7" s="13" t="s">
        <v>100</v>
      </c>
    </row>
    <row r="8" customFormat="false" ht="23.85" hidden="false" customHeight="false" outlineLevel="0" collapsed="false">
      <c r="A8" s="12" t="s">
        <v>101</v>
      </c>
      <c r="B8" s="13" t="s">
        <v>102</v>
      </c>
      <c r="C8" s="13" t="s">
        <v>62</v>
      </c>
      <c r="D8" s="13" t="s">
        <v>64</v>
      </c>
      <c r="E8" s="13" t="s">
        <v>56</v>
      </c>
      <c r="F8" s="13" t="s">
        <v>55</v>
      </c>
      <c r="G8" s="13" t="s">
        <v>103</v>
      </c>
      <c r="H8" s="13" t="s">
        <v>104</v>
      </c>
      <c r="I8" s="13" t="s">
        <v>105</v>
      </c>
    </row>
    <row r="9" customFormat="false" ht="23.85" hidden="false" customHeight="false" outlineLevel="0" collapsed="false">
      <c r="A9" s="12" t="s">
        <v>106</v>
      </c>
      <c r="B9" s="13" t="s">
        <v>107</v>
      </c>
      <c r="C9" s="13" t="s">
        <v>62</v>
      </c>
      <c r="D9" s="13" t="s">
        <v>64</v>
      </c>
      <c r="E9" s="13" t="s">
        <v>59</v>
      </c>
      <c r="F9" s="13" t="s">
        <v>64</v>
      </c>
      <c r="G9" s="13" t="s">
        <v>108</v>
      </c>
      <c r="H9" s="13" t="s">
        <v>109</v>
      </c>
      <c r="I9" s="13" t="s">
        <v>110</v>
      </c>
    </row>
    <row r="10" customFormat="false" ht="23.85" hidden="false" customHeight="false" outlineLevel="0" collapsed="false">
      <c r="A10" s="12" t="s">
        <v>111</v>
      </c>
      <c r="B10" s="13" t="s">
        <v>112</v>
      </c>
      <c r="C10" s="13" t="s">
        <v>62</v>
      </c>
      <c r="D10" s="13" t="s">
        <v>65</v>
      </c>
      <c r="E10" s="13" t="s">
        <v>55</v>
      </c>
      <c r="F10" s="13" t="s">
        <v>55</v>
      </c>
      <c r="G10" s="13" t="s">
        <v>113</v>
      </c>
      <c r="H10" s="13" t="s">
        <v>114</v>
      </c>
      <c r="I10" s="13" t="s">
        <v>115</v>
      </c>
    </row>
    <row r="11" customFormat="false" ht="23.85" hidden="false" customHeight="false" outlineLevel="0" collapsed="false">
      <c r="A11" s="12" t="s">
        <v>116</v>
      </c>
      <c r="B11" s="13" t="s">
        <v>117</v>
      </c>
      <c r="C11" s="13" t="s">
        <v>62</v>
      </c>
      <c r="D11" s="13" t="s">
        <v>65</v>
      </c>
      <c r="E11" s="13" t="s">
        <v>59</v>
      </c>
      <c r="F11" s="13" t="s">
        <v>65</v>
      </c>
      <c r="G11" s="13" t="s">
        <v>118</v>
      </c>
      <c r="H11" s="13" t="s">
        <v>119</v>
      </c>
      <c r="I11" s="13" t="s">
        <v>120</v>
      </c>
    </row>
    <row r="12" customFormat="false" ht="23.85" hidden="false" customHeight="false" outlineLevel="0" collapsed="false">
      <c r="A12" s="12" t="s">
        <v>121</v>
      </c>
      <c r="B12" s="13" t="s">
        <v>122</v>
      </c>
      <c r="C12" s="13" t="s">
        <v>62</v>
      </c>
      <c r="D12" s="13" t="s">
        <v>65</v>
      </c>
      <c r="E12" s="13" t="s">
        <v>58</v>
      </c>
      <c r="F12" s="13" t="s">
        <v>66</v>
      </c>
      <c r="G12" s="13" t="s">
        <v>123</v>
      </c>
      <c r="H12" s="13" t="s">
        <v>124</v>
      </c>
      <c r="I12" s="13" t="s">
        <v>125</v>
      </c>
    </row>
    <row r="13" customFormat="false" ht="15" hidden="false" customHeight="false" outlineLevel="0" collapsed="false">
      <c r="A13" s="12" t="s">
        <v>126</v>
      </c>
      <c r="B13" s="13" t="s">
        <v>127</v>
      </c>
      <c r="C13" s="13" t="s">
        <v>62</v>
      </c>
      <c r="D13" s="13" t="s">
        <v>65</v>
      </c>
      <c r="E13" s="13" t="s">
        <v>57</v>
      </c>
      <c r="F13" s="13" t="s">
        <v>55</v>
      </c>
      <c r="G13" s="13" t="s">
        <v>128</v>
      </c>
      <c r="H13" s="13" t="s">
        <v>129</v>
      </c>
      <c r="I13" s="13" t="s">
        <v>130</v>
      </c>
    </row>
    <row r="14" customFormat="false" ht="15" hidden="false" customHeight="false" outlineLevel="0" collapsed="false">
      <c r="A14" s="12" t="s">
        <v>131</v>
      </c>
      <c r="B14" s="13" t="s">
        <v>132</v>
      </c>
      <c r="C14" s="13" t="s">
        <v>62</v>
      </c>
      <c r="D14" s="13" t="s">
        <v>65</v>
      </c>
      <c r="E14" s="13" t="s">
        <v>55</v>
      </c>
      <c r="F14" s="13" t="s">
        <v>55</v>
      </c>
      <c r="G14" s="13" t="s">
        <v>133</v>
      </c>
      <c r="H14" s="13" t="s">
        <v>134</v>
      </c>
      <c r="I14" s="13" t="s">
        <v>135</v>
      </c>
    </row>
    <row r="15" customFormat="false" ht="15" hidden="false" customHeight="false" outlineLevel="0" collapsed="false">
      <c r="A15" s="12" t="s">
        <v>136</v>
      </c>
      <c r="B15" s="13" t="s">
        <v>137</v>
      </c>
      <c r="C15" s="13" t="s">
        <v>62</v>
      </c>
      <c r="D15" s="13" t="s">
        <v>65</v>
      </c>
      <c r="E15" s="13" t="s">
        <v>55</v>
      </c>
      <c r="F15" s="13" t="s">
        <v>55</v>
      </c>
      <c r="G15" s="13" t="s">
        <v>138</v>
      </c>
      <c r="H15" s="13" t="s">
        <v>139</v>
      </c>
      <c r="I15" s="13" t="s">
        <v>90</v>
      </c>
    </row>
    <row r="16" customFormat="false" ht="23.85" hidden="false" customHeight="false" outlineLevel="0" collapsed="false">
      <c r="A16" s="12" t="s">
        <v>140</v>
      </c>
      <c r="B16" s="13" t="s">
        <v>141</v>
      </c>
      <c r="C16" s="13" t="s">
        <v>62</v>
      </c>
      <c r="D16" s="13" t="s">
        <v>65</v>
      </c>
      <c r="E16" s="13" t="s">
        <v>60</v>
      </c>
      <c r="F16" s="13" t="s">
        <v>65</v>
      </c>
      <c r="G16" s="13" t="s">
        <v>142</v>
      </c>
      <c r="H16" s="13" t="s">
        <v>143</v>
      </c>
      <c r="I16" s="13" t="s">
        <v>144</v>
      </c>
    </row>
    <row r="17" customFormat="false" ht="15" hidden="false" customHeight="false" outlineLevel="0" collapsed="false">
      <c r="A17" s="12" t="s">
        <v>145</v>
      </c>
      <c r="B17" s="13" t="s">
        <v>146</v>
      </c>
      <c r="C17" s="13" t="s">
        <v>62</v>
      </c>
      <c r="D17" s="13" t="s">
        <v>65</v>
      </c>
      <c r="E17" s="13" t="s">
        <v>55</v>
      </c>
      <c r="F17" s="13" t="s">
        <v>55</v>
      </c>
      <c r="G17" s="13" t="s">
        <v>147</v>
      </c>
      <c r="H17" s="13" t="s">
        <v>148</v>
      </c>
      <c r="I17" s="13" t="s">
        <v>90</v>
      </c>
    </row>
    <row r="18" customFormat="false" ht="15" hidden="false" customHeight="false" outlineLevel="0" collapsed="false">
      <c r="A18" s="12" t="s">
        <v>149</v>
      </c>
      <c r="B18" s="13" t="s">
        <v>150</v>
      </c>
      <c r="C18" s="13" t="s">
        <v>62</v>
      </c>
      <c r="D18" s="13" t="s">
        <v>65</v>
      </c>
      <c r="E18" s="13" t="s">
        <v>58</v>
      </c>
      <c r="F18" s="13" t="s">
        <v>66</v>
      </c>
      <c r="G18" s="13" t="s">
        <v>151</v>
      </c>
      <c r="H18" s="13" t="s">
        <v>152</v>
      </c>
      <c r="I18" s="13" t="s">
        <v>153</v>
      </c>
    </row>
    <row r="19" customFormat="false" ht="23.85" hidden="false" customHeight="false" outlineLevel="0" collapsed="false">
      <c r="A19" s="12" t="s">
        <v>154</v>
      </c>
      <c r="B19" s="13" t="s">
        <v>155</v>
      </c>
      <c r="C19" s="13" t="s">
        <v>62</v>
      </c>
      <c r="D19" s="13" t="s">
        <v>65</v>
      </c>
      <c r="E19" s="13" t="s">
        <v>60</v>
      </c>
      <c r="F19" s="13" t="s">
        <v>65</v>
      </c>
      <c r="G19" s="13" t="s">
        <v>142</v>
      </c>
      <c r="H19" s="13" t="s">
        <v>156</v>
      </c>
      <c r="I19" s="13" t="s">
        <v>157</v>
      </c>
    </row>
    <row r="20" customFormat="false" ht="23.85" hidden="false" customHeight="false" outlineLevel="0" collapsed="false">
      <c r="A20" s="12" t="s">
        <v>158</v>
      </c>
      <c r="B20" s="13" t="s">
        <v>159</v>
      </c>
      <c r="C20" s="13" t="s">
        <v>62</v>
      </c>
      <c r="D20" s="13" t="s">
        <v>65</v>
      </c>
      <c r="E20" s="13" t="s">
        <v>58</v>
      </c>
      <c r="F20" s="13" t="s">
        <v>65</v>
      </c>
      <c r="G20" s="13" t="s">
        <v>160</v>
      </c>
      <c r="H20" s="13" t="s">
        <v>161</v>
      </c>
      <c r="I20" s="13" t="s">
        <v>162</v>
      </c>
    </row>
    <row r="21" customFormat="false" ht="15" hidden="false" customHeight="false" outlineLevel="0" collapsed="false">
      <c r="A21" s="12" t="s">
        <v>163</v>
      </c>
      <c r="B21" s="13" t="s">
        <v>164</v>
      </c>
      <c r="C21" s="13" t="s">
        <v>62</v>
      </c>
      <c r="D21" s="13" t="s">
        <v>65</v>
      </c>
      <c r="E21" s="13" t="s">
        <v>55</v>
      </c>
      <c r="F21" s="13" t="s">
        <v>55</v>
      </c>
      <c r="G21" s="13" t="s">
        <v>165</v>
      </c>
      <c r="H21" s="13" t="s">
        <v>166</v>
      </c>
      <c r="I21" s="13" t="s">
        <v>90</v>
      </c>
    </row>
    <row r="22" customFormat="false" ht="15" hidden="false" customHeight="false" outlineLevel="0" collapsed="false">
      <c r="A22" s="12" t="s">
        <v>167</v>
      </c>
      <c r="B22" s="13" t="s">
        <v>168</v>
      </c>
      <c r="C22" s="13" t="s">
        <v>62</v>
      </c>
      <c r="D22" s="13" t="s">
        <v>65</v>
      </c>
      <c r="E22" s="13" t="s">
        <v>55</v>
      </c>
      <c r="F22" s="13" t="s">
        <v>55</v>
      </c>
      <c r="G22" s="13" t="s">
        <v>169</v>
      </c>
      <c r="H22" s="13" t="s">
        <v>170</v>
      </c>
      <c r="I22" s="13" t="s">
        <v>90</v>
      </c>
    </row>
    <row r="23" customFormat="false" ht="15" hidden="false" customHeight="false" outlineLevel="0" collapsed="false">
      <c r="A23" s="12" t="s">
        <v>171</v>
      </c>
      <c r="B23" s="13" t="s">
        <v>172</v>
      </c>
      <c r="C23" s="13" t="s">
        <v>62</v>
      </c>
      <c r="D23" s="13" t="s">
        <v>65</v>
      </c>
      <c r="E23" s="13" t="s">
        <v>55</v>
      </c>
      <c r="F23" s="13" t="s">
        <v>55</v>
      </c>
      <c r="G23" s="13" t="s">
        <v>173</v>
      </c>
      <c r="H23" s="13" t="s">
        <v>174</v>
      </c>
      <c r="I23" s="13" t="s">
        <v>90</v>
      </c>
    </row>
    <row r="24" customFormat="false" ht="15" hidden="false" customHeight="false" outlineLevel="0" collapsed="false">
      <c r="A24" s="12" t="s">
        <v>175</v>
      </c>
      <c r="B24" s="13" t="s">
        <v>176</v>
      </c>
      <c r="C24" s="13" t="s">
        <v>62</v>
      </c>
      <c r="D24" s="13" t="s">
        <v>65</v>
      </c>
      <c r="E24" s="13" t="s">
        <v>56</v>
      </c>
      <c r="F24" s="13" t="s">
        <v>55</v>
      </c>
      <c r="G24" s="13" t="s">
        <v>118</v>
      </c>
      <c r="H24" s="13" t="s">
        <v>177</v>
      </c>
      <c r="I24" s="13" t="s">
        <v>178</v>
      </c>
    </row>
    <row r="25" customFormat="false" ht="23.85" hidden="false" customHeight="false" outlineLevel="0" collapsed="false">
      <c r="A25" s="12" t="s">
        <v>179</v>
      </c>
      <c r="B25" s="13" t="s">
        <v>180</v>
      </c>
      <c r="C25" s="13" t="s">
        <v>62</v>
      </c>
      <c r="D25" s="13" t="s">
        <v>65</v>
      </c>
      <c r="E25" s="13" t="s">
        <v>58</v>
      </c>
      <c r="F25" s="13" t="s">
        <v>66</v>
      </c>
      <c r="G25" s="13" t="s">
        <v>118</v>
      </c>
      <c r="H25" s="13" t="s">
        <v>181</v>
      </c>
      <c r="I25" s="13" t="s">
        <v>182</v>
      </c>
    </row>
    <row r="26" customFormat="false" ht="23.85" hidden="false" customHeight="false" outlineLevel="0" collapsed="false">
      <c r="A26" s="12" t="s">
        <v>183</v>
      </c>
      <c r="B26" s="13" t="s">
        <v>184</v>
      </c>
      <c r="C26" s="13" t="s">
        <v>62</v>
      </c>
      <c r="D26" s="13" t="s">
        <v>66</v>
      </c>
      <c r="E26" s="13" t="s">
        <v>59</v>
      </c>
      <c r="F26" s="13" t="s">
        <v>66</v>
      </c>
      <c r="G26" s="13" t="s">
        <v>118</v>
      </c>
      <c r="H26" s="13" t="s">
        <v>185</v>
      </c>
      <c r="I26" s="13" t="s">
        <v>186</v>
      </c>
    </row>
    <row r="27" customFormat="false" ht="35.05" hidden="false" customHeight="false" outlineLevel="0" collapsed="false">
      <c r="A27" s="12" t="s">
        <v>187</v>
      </c>
      <c r="B27" s="13" t="s">
        <v>188</v>
      </c>
      <c r="C27" s="13" t="s">
        <v>189</v>
      </c>
      <c r="D27" s="13" t="s">
        <v>64</v>
      </c>
      <c r="E27" s="13" t="s">
        <v>190</v>
      </c>
      <c r="F27" s="13" t="s">
        <v>64</v>
      </c>
      <c r="G27" s="13" t="s">
        <v>191</v>
      </c>
      <c r="H27" s="13" t="s">
        <v>192</v>
      </c>
      <c r="I27" s="13" t="s">
        <v>193</v>
      </c>
    </row>
    <row r="28" customFormat="false" ht="23.85" hidden="false" customHeight="false" outlineLevel="0" collapsed="false">
      <c r="A28" s="12" t="s">
        <v>194</v>
      </c>
      <c r="B28" s="13" t="s">
        <v>195</v>
      </c>
      <c r="C28" s="13" t="s">
        <v>189</v>
      </c>
      <c r="D28" s="13" t="s">
        <v>65</v>
      </c>
      <c r="E28" s="13" t="s">
        <v>190</v>
      </c>
      <c r="F28" s="13" t="s">
        <v>65</v>
      </c>
      <c r="G28" s="13" t="s">
        <v>196</v>
      </c>
      <c r="H28" s="13" t="s">
        <v>197</v>
      </c>
      <c r="I28" s="13" t="s">
        <v>198</v>
      </c>
    </row>
    <row r="29" customFormat="false" ht="23.85" hidden="false" customHeight="false" outlineLevel="0" collapsed="false">
      <c r="A29" s="12" t="s">
        <v>199</v>
      </c>
      <c r="B29" s="13" t="s">
        <v>200</v>
      </c>
      <c r="C29" s="13" t="s">
        <v>189</v>
      </c>
      <c r="D29" s="13" t="s">
        <v>65</v>
      </c>
      <c r="E29" s="13" t="s">
        <v>190</v>
      </c>
      <c r="F29" s="13" t="s">
        <v>65</v>
      </c>
      <c r="G29" s="13" t="s">
        <v>201</v>
      </c>
      <c r="H29" s="13" t="s">
        <v>202</v>
      </c>
      <c r="I29" s="13" t="s">
        <v>203</v>
      </c>
    </row>
    <row r="30" customFormat="false" ht="23.85" hidden="false" customHeight="false" outlineLevel="0" collapsed="false">
      <c r="A30" s="12" t="s">
        <v>204</v>
      </c>
      <c r="B30" s="13" t="s">
        <v>205</v>
      </c>
      <c r="C30" s="13" t="s">
        <v>189</v>
      </c>
      <c r="D30" s="13" t="s">
        <v>66</v>
      </c>
      <c r="E30" s="13" t="s">
        <v>190</v>
      </c>
      <c r="F30" s="13" t="s">
        <v>66</v>
      </c>
      <c r="G30" s="13" t="s">
        <v>206</v>
      </c>
      <c r="H30" s="13" t="s">
        <v>207</v>
      </c>
      <c r="I30" s="13" t="s">
        <v>208</v>
      </c>
    </row>
    <row r="31" customFormat="false" ht="35.05" hidden="false" customHeight="false" outlineLevel="0" collapsed="false">
      <c r="A31" s="12" t="s">
        <v>209</v>
      </c>
      <c r="B31" s="13" t="s">
        <v>210</v>
      </c>
      <c r="C31" s="13" t="s">
        <v>189</v>
      </c>
      <c r="D31" s="13" t="s">
        <v>65</v>
      </c>
      <c r="E31" s="13" t="s">
        <v>190</v>
      </c>
      <c r="F31" s="13" t="s">
        <v>65</v>
      </c>
      <c r="G31" s="13" t="s">
        <v>211</v>
      </c>
      <c r="H31" s="13" t="s">
        <v>212</v>
      </c>
      <c r="I31" s="13" t="s">
        <v>213</v>
      </c>
    </row>
    <row r="32" customFormat="false" ht="23.85" hidden="false" customHeight="false" outlineLevel="0" collapsed="false">
      <c r="A32" s="12" t="s">
        <v>214</v>
      </c>
      <c r="B32" s="13" t="s">
        <v>215</v>
      </c>
      <c r="C32" s="13" t="s">
        <v>189</v>
      </c>
      <c r="D32" s="13" t="s">
        <v>65</v>
      </c>
      <c r="E32" s="13" t="s">
        <v>190</v>
      </c>
      <c r="F32" s="13" t="s">
        <v>65</v>
      </c>
      <c r="G32" s="13" t="s">
        <v>216</v>
      </c>
      <c r="H32" s="13" t="s">
        <v>217</v>
      </c>
      <c r="I32" s="13" t="s">
        <v>218</v>
      </c>
    </row>
    <row r="33" customFormat="false" ht="23.85" hidden="false" customHeight="false" outlineLevel="0" collapsed="false">
      <c r="A33" s="12" t="s">
        <v>219</v>
      </c>
      <c r="B33" s="13" t="s">
        <v>220</v>
      </c>
      <c r="C33" s="13" t="s">
        <v>189</v>
      </c>
      <c r="D33" s="13" t="s">
        <v>66</v>
      </c>
      <c r="E33" s="13" t="s">
        <v>190</v>
      </c>
      <c r="F33" s="13" t="s">
        <v>66</v>
      </c>
      <c r="G33" s="13" t="s">
        <v>221</v>
      </c>
      <c r="H33" s="13" t="s">
        <v>222</v>
      </c>
      <c r="I33" s="13" t="s">
        <v>223</v>
      </c>
    </row>
    <row r="34" customFormat="false" ht="35.05" hidden="false" customHeight="false" outlineLevel="0" collapsed="false">
      <c r="A34" s="12" t="s">
        <v>224</v>
      </c>
      <c r="B34" s="13" t="s">
        <v>225</v>
      </c>
      <c r="C34" s="13" t="s">
        <v>189</v>
      </c>
      <c r="D34" s="13" t="s">
        <v>65</v>
      </c>
      <c r="E34" s="13" t="s">
        <v>190</v>
      </c>
      <c r="F34" s="13" t="s">
        <v>65</v>
      </c>
      <c r="G34" s="13" t="s">
        <v>226</v>
      </c>
      <c r="H34" s="13" t="s">
        <v>227</v>
      </c>
      <c r="I34" s="13" t="s">
        <v>228</v>
      </c>
    </row>
    <row r="35" customFormat="false" ht="23.85" hidden="false" customHeight="false" outlineLevel="0" collapsed="false">
      <c r="A35" s="12" t="s">
        <v>229</v>
      </c>
      <c r="B35" s="13" t="s">
        <v>230</v>
      </c>
      <c r="C35" s="13" t="s">
        <v>189</v>
      </c>
      <c r="D35" s="13" t="s">
        <v>65</v>
      </c>
      <c r="E35" s="13" t="s">
        <v>190</v>
      </c>
      <c r="F35" s="13" t="s">
        <v>65</v>
      </c>
      <c r="G35" s="13" t="s">
        <v>231</v>
      </c>
      <c r="H35" s="13" t="s">
        <v>232</v>
      </c>
      <c r="I35" s="13" t="s">
        <v>233</v>
      </c>
    </row>
    <row r="36" customFormat="false" ht="23.85" hidden="false" customHeight="false" outlineLevel="0" collapsed="false">
      <c r="A36" s="12" t="s">
        <v>234</v>
      </c>
      <c r="B36" s="13" t="s">
        <v>235</v>
      </c>
      <c r="C36" s="13" t="s">
        <v>189</v>
      </c>
      <c r="D36" s="13" t="s">
        <v>65</v>
      </c>
      <c r="E36" s="13" t="s">
        <v>190</v>
      </c>
      <c r="F36" s="13" t="s">
        <v>65</v>
      </c>
      <c r="G36" s="13" t="s">
        <v>236</v>
      </c>
      <c r="H36" s="13" t="s">
        <v>237</v>
      </c>
      <c r="I36" s="13" t="s">
        <v>238</v>
      </c>
    </row>
    <row r="37" customFormat="false" ht="23.85" hidden="false" customHeight="false" outlineLevel="0" collapsed="false">
      <c r="A37" s="12" t="s">
        <v>239</v>
      </c>
      <c r="B37" s="13" t="s">
        <v>240</v>
      </c>
      <c r="C37" s="13" t="s">
        <v>189</v>
      </c>
      <c r="D37" s="13" t="s">
        <v>66</v>
      </c>
      <c r="E37" s="13" t="s">
        <v>190</v>
      </c>
      <c r="F37" s="13" t="s">
        <v>66</v>
      </c>
      <c r="G37" s="13" t="s">
        <v>241</v>
      </c>
      <c r="H37" s="13" t="s">
        <v>242</v>
      </c>
      <c r="I37" s="13" t="s">
        <v>243</v>
      </c>
    </row>
  </sheetData>
  <conditionalFormatting sqref="F5:F37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conditionalFormatting sqref="D5:D37">
    <cfRule type="cellIs" priority="5" operator="equal" aboveAverage="0" equalAverage="0" bottom="0" percent="0" rank="0" text="" dxfId="0">
      <formula>"High"</formula>
    </cfRule>
    <cfRule type="cellIs" priority="6" operator="equal" aboveAverage="0" equalAverage="0" bottom="0" percent="0" rank="0" text="" dxfId="1">
      <formula>"Medium"</formula>
    </cfRule>
    <cfRule type="cellIs" priority="7" operator="equal" aboveAverage="0" equalAverage="0" bottom="0" percent="0" rank="0" text="" dxfId="2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5" min="4" style="0" width="5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9" min="8" style="0" width="5"/>
    <col collapsed="false" customWidth="true" hidden="false" outlineLevel="0" max="10" min="10" style="0" width="7"/>
    <col collapsed="false" customWidth="true" hidden="false" outlineLevel="0" max="11" min="11" style="0" width="10"/>
    <col collapsed="false" customWidth="true" hidden="false" outlineLevel="0" max="13" min="12" style="0" width="5"/>
    <col collapsed="false" customWidth="true" hidden="false" outlineLevel="0" max="14" min="14" style="0" width="7"/>
    <col collapsed="false" customWidth="true" hidden="false" outlineLevel="0" max="15" min="15" style="0" width="10"/>
    <col collapsed="false" customWidth="true" hidden="false" outlineLevel="0" max="17" min="16" style="0" width="5"/>
    <col collapsed="false" customWidth="true" hidden="false" outlineLevel="0" max="18" min="18" style="0" width="7"/>
    <col collapsed="false" customWidth="true" hidden="false" outlineLevel="0" max="20" min="19" style="0" width="10"/>
    <col collapsed="false" customWidth="true" hidden="false" outlineLevel="0" max="21" min="21" style="0" width="26"/>
    <col collapsed="false" customWidth="true" hidden="false" outlineLevel="0" max="22" min="22" style="0" width="24"/>
  </cols>
  <sheetData>
    <row r="1" customFormat="false" ht="17.35" hidden="false" customHeight="false" outlineLevel="0" collapsed="false">
      <c r="A1" s="6" t="s">
        <v>244</v>
      </c>
    </row>
    <row r="2" customFormat="false" ht="15" hidden="false" customHeight="false" outlineLevel="0" collapsed="false">
      <c r="A2" s="7" t="s">
        <v>245</v>
      </c>
    </row>
    <row r="4" customFormat="false" ht="15" hidden="false" customHeight="false" outlineLevel="0" collapsed="false">
      <c r="D4" s="11" t="s">
        <v>246</v>
      </c>
      <c r="H4" s="11" t="s">
        <v>247</v>
      </c>
      <c r="L4" s="11" t="s">
        <v>248</v>
      </c>
      <c r="P4" s="11" t="s">
        <v>249</v>
      </c>
    </row>
    <row r="5" customFormat="false" ht="15" hidden="false" customHeight="false" outlineLevel="0" collapsed="false">
      <c r="A5" s="8" t="s">
        <v>250</v>
      </c>
      <c r="B5" s="8" t="s">
        <v>251</v>
      </c>
      <c r="C5" s="8" t="s">
        <v>252</v>
      </c>
      <c r="D5" s="8" t="s">
        <v>253</v>
      </c>
      <c r="E5" s="8" t="s">
        <v>254</v>
      </c>
      <c r="F5" s="8" t="s">
        <v>255</v>
      </c>
      <c r="G5" s="8" t="s">
        <v>256</v>
      </c>
      <c r="H5" s="8" t="s">
        <v>253</v>
      </c>
      <c r="I5" s="8" t="s">
        <v>254</v>
      </c>
      <c r="J5" s="8" t="s">
        <v>255</v>
      </c>
      <c r="K5" s="8" t="s">
        <v>256</v>
      </c>
      <c r="L5" s="8" t="s">
        <v>253</v>
      </c>
      <c r="M5" s="8" t="s">
        <v>254</v>
      </c>
      <c r="N5" s="8" t="s">
        <v>255</v>
      </c>
      <c r="O5" s="8" t="s">
        <v>256</v>
      </c>
      <c r="P5" s="8" t="s">
        <v>253</v>
      </c>
      <c r="Q5" s="8" t="s">
        <v>254</v>
      </c>
      <c r="R5" s="8" t="s">
        <v>255</v>
      </c>
      <c r="S5" s="8" t="s">
        <v>256</v>
      </c>
      <c r="T5" s="8" t="s">
        <v>257</v>
      </c>
      <c r="U5" s="8" t="s">
        <v>258</v>
      </c>
      <c r="V5" s="8" t="s">
        <v>259</v>
      </c>
    </row>
    <row r="6" customFormat="false" ht="23.85" hidden="false" customHeight="false" outlineLevel="0" collapsed="false">
      <c r="A6" s="12" t="s">
        <v>260</v>
      </c>
      <c r="B6" s="13" t="s">
        <v>261</v>
      </c>
      <c r="C6" s="13" t="s">
        <v>262</v>
      </c>
      <c r="D6" s="14" t="n">
        <v>4</v>
      </c>
      <c r="E6" s="14" t="n">
        <v>5</v>
      </c>
      <c r="F6" s="13" t="n">
        <f aca="false">IF(D6="","",D6*E6)</f>
        <v>20</v>
      </c>
      <c r="G6" s="13" t="str">
        <f aca="false">IF(F6="","",IF(F6&gt;=16,"Very high",IF(F6&gt;=10,"High",IF(F6&gt;=5,"Medium","Low"))))</f>
        <v>Very high</v>
      </c>
      <c r="H6" s="14" t="n">
        <v>3</v>
      </c>
      <c r="I6" s="14" t="n">
        <v>5</v>
      </c>
      <c r="J6" s="13" t="n">
        <f aca="false">IF(H6="","",H6*I6)</f>
        <v>15</v>
      </c>
      <c r="K6" s="13" t="str">
        <f aca="false">IF(J6="","",IF(J6&gt;=16,"Very high",IF(J6&gt;=10,"High",IF(J6&gt;=5,"Medium","Low"))))</f>
        <v>High</v>
      </c>
      <c r="L6" s="14" t="n">
        <v>2</v>
      </c>
      <c r="M6" s="14" t="n">
        <v>4</v>
      </c>
      <c r="N6" s="13" t="n">
        <f aca="false">IF(L6="","",L6*M6)</f>
        <v>8</v>
      </c>
      <c r="O6" s="13" t="str">
        <f aca="false">IF(N6="","",IF(N6&gt;=16,"Very high",IF(N6&gt;=10,"High",IF(N6&gt;=5,"Medium","Low"))))</f>
        <v>Medium</v>
      </c>
      <c r="P6" s="14" t="n">
        <v>2</v>
      </c>
      <c r="Q6" s="14" t="n">
        <v>4</v>
      </c>
      <c r="R6" s="13" t="n">
        <f aca="false">IF(P6="","",P6*Q6)</f>
        <v>8</v>
      </c>
      <c r="S6" s="13" t="str">
        <f aca="false">IF(R6="","",IF(R6&gt;=16,"Very high",IF(R6&gt;=10,"High",IF(R6&gt;=5,"Medium","Low"))))</f>
        <v>Medium</v>
      </c>
      <c r="T6" s="13" t="str">
        <f aca="false">IF(J6="","New",IF(N6&lt;J6,"Down",IF(N6&gt;J6,"Up","Same")))</f>
        <v>Down</v>
      </c>
      <c r="U6" s="13" t="s">
        <v>263</v>
      </c>
      <c r="V6" s="13" t="s">
        <v>264</v>
      </c>
    </row>
    <row r="7" customFormat="false" ht="15" hidden="false" customHeight="false" outlineLevel="0" collapsed="false">
      <c r="A7" s="12" t="s">
        <v>265</v>
      </c>
      <c r="B7" s="13" t="s">
        <v>266</v>
      </c>
      <c r="C7" s="13" t="s">
        <v>267</v>
      </c>
      <c r="D7" s="14" t="n">
        <v>4</v>
      </c>
      <c r="E7" s="14" t="n">
        <v>4</v>
      </c>
      <c r="F7" s="13" t="n">
        <f aca="false">IF(D7="","",D7*E7)</f>
        <v>16</v>
      </c>
      <c r="G7" s="13" t="str">
        <f aca="false">IF(F7="","",IF(F7&gt;=16,"Very high",IF(F7&gt;=10,"High",IF(F7&gt;=5,"Medium","Low"))))</f>
        <v>Very high</v>
      </c>
      <c r="H7" s="14" t="n">
        <v>4</v>
      </c>
      <c r="I7" s="14" t="n">
        <v>4</v>
      </c>
      <c r="J7" s="13" t="n">
        <f aca="false">IF(H7="","",H7*I7)</f>
        <v>16</v>
      </c>
      <c r="K7" s="13" t="str">
        <f aca="false">IF(J7="","",IF(J7&gt;=16,"Very high",IF(J7&gt;=10,"High",IF(J7&gt;=5,"Medium","Low"))))</f>
        <v>Very high</v>
      </c>
      <c r="L7" s="14" t="n">
        <v>3</v>
      </c>
      <c r="M7" s="14" t="n">
        <v>4</v>
      </c>
      <c r="N7" s="13" t="n">
        <f aca="false">IF(L7="","",L7*M7)</f>
        <v>12</v>
      </c>
      <c r="O7" s="13" t="str">
        <f aca="false">IF(N7="","",IF(N7&gt;=16,"Very high",IF(N7&gt;=10,"High",IF(N7&gt;=5,"Medium","Low"))))</f>
        <v>High</v>
      </c>
      <c r="P7" s="14" t="n">
        <v>2</v>
      </c>
      <c r="Q7" s="14" t="n">
        <v>4</v>
      </c>
      <c r="R7" s="13" t="n">
        <f aca="false">IF(P7="","",P7*Q7)</f>
        <v>8</v>
      </c>
      <c r="S7" s="13" t="str">
        <f aca="false">IF(R7="","",IF(R7&gt;=16,"Very high",IF(R7&gt;=10,"High",IF(R7&gt;=5,"Medium","Low"))))</f>
        <v>Medium</v>
      </c>
      <c r="T7" s="13" t="str">
        <f aca="false">IF(J7="","New",IF(N7&lt;J7,"Down",IF(N7&gt;J7,"Up","Same")))</f>
        <v>Down</v>
      </c>
      <c r="U7" s="13" t="s">
        <v>263</v>
      </c>
      <c r="V7" s="13" t="s">
        <v>268</v>
      </c>
    </row>
    <row r="8" customFormat="false" ht="15" hidden="false" customHeight="false" outlineLevel="0" collapsed="false">
      <c r="A8" s="12" t="s">
        <v>269</v>
      </c>
      <c r="B8" s="13" t="s">
        <v>270</v>
      </c>
      <c r="C8" s="13" t="s">
        <v>101</v>
      </c>
      <c r="D8" s="14" t="n">
        <v>3</v>
      </c>
      <c r="E8" s="14" t="n">
        <v>4</v>
      </c>
      <c r="F8" s="13" t="n">
        <f aca="false">IF(D8="","",D8*E8)</f>
        <v>12</v>
      </c>
      <c r="G8" s="13" t="str">
        <f aca="false">IF(F8="","",IF(F8&gt;=16,"Very high",IF(F8&gt;=10,"High",IF(F8&gt;=5,"Medium","Low"))))</f>
        <v>High</v>
      </c>
      <c r="H8" s="14" t="n">
        <v>4</v>
      </c>
      <c r="I8" s="14" t="n">
        <v>4</v>
      </c>
      <c r="J8" s="13" t="n">
        <f aca="false">IF(H8="","",H8*I8)</f>
        <v>16</v>
      </c>
      <c r="K8" s="13" t="str">
        <f aca="false">IF(J8="","",IF(J8&gt;=16,"Very high",IF(J8&gt;=10,"High",IF(J8&gt;=5,"Medium","Low"))))</f>
        <v>Very high</v>
      </c>
      <c r="L8" s="14" t="n">
        <v>1</v>
      </c>
      <c r="M8" s="14" t="n">
        <v>4</v>
      </c>
      <c r="N8" s="13" t="n">
        <f aca="false">IF(L8="","",L8*M8)</f>
        <v>4</v>
      </c>
      <c r="O8" s="13" t="str">
        <f aca="false">IF(N8="","",IF(N8&gt;=16,"Very high",IF(N8&gt;=10,"High",IF(N8&gt;=5,"Medium","Low"))))</f>
        <v>Low</v>
      </c>
      <c r="P8" s="14" t="n">
        <v>1</v>
      </c>
      <c r="Q8" s="14" t="n">
        <v>4</v>
      </c>
      <c r="R8" s="13" t="n">
        <f aca="false">IF(P8="","",P8*Q8)</f>
        <v>4</v>
      </c>
      <c r="S8" s="13" t="str">
        <f aca="false">IF(R8="","",IF(R8&gt;=16,"Very high",IF(R8&gt;=10,"High",IF(R8&gt;=5,"Medium","Low"))))</f>
        <v>Low</v>
      </c>
      <c r="T8" s="13" t="str">
        <f aca="false">IF(J8="","New",IF(N8&lt;J8,"Down",IF(N8&gt;J8,"Up","Same")))</f>
        <v>Down</v>
      </c>
      <c r="U8" s="13" t="s">
        <v>271</v>
      </c>
      <c r="V8" s="13" t="s">
        <v>272</v>
      </c>
    </row>
    <row r="9" customFormat="false" ht="15" hidden="false" customHeight="false" outlineLevel="0" collapsed="false">
      <c r="A9" s="12" t="s">
        <v>273</v>
      </c>
      <c r="B9" s="13" t="s">
        <v>274</v>
      </c>
      <c r="C9" s="13" t="s">
        <v>179</v>
      </c>
      <c r="D9" s="14" t="n">
        <v>3</v>
      </c>
      <c r="E9" s="14" t="n">
        <v>4</v>
      </c>
      <c r="F9" s="13" t="n">
        <f aca="false">IF(D9="","",D9*E9)</f>
        <v>12</v>
      </c>
      <c r="G9" s="13" t="str">
        <f aca="false">IF(F9="","",IF(F9&gt;=16,"Very high",IF(F9&gt;=10,"High",IF(F9&gt;=5,"Medium","Low"))))</f>
        <v>High</v>
      </c>
      <c r="H9" s="14" t="n">
        <v>3</v>
      </c>
      <c r="I9" s="14" t="n">
        <v>3</v>
      </c>
      <c r="J9" s="13" t="n">
        <f aca="false">IF(H9="","",H9*I9)</f>
        <v>9</v>
      </c>
      <c r="K9" s="13" t="str">
        <f aca="false">IF(J9="","",IF(J9&gt;=16,"Very high",IF(J9&gt;=10,"High",IF(J9&gt;=5,"Medium","Low"))))</f>
        <v>Medium</v>
      </c>
      <c r="L9" s="14" t="n">
        <v>2</v>
      </c>
      <c r="M9" s="14" t="n">
        <v>3</v>
      </c>
      <c r="N9" s="13" t="n">
        <f aca="false">IF(L9="","",L9*M9)</f>
        <v>6</v>
      </c>
      <c r="O9" s="13" t="str">
        <f aca="false">IF(N9="","",IF(N9&gt;=16,"Very high",IF(N9&gt;=10,"High",IF(N9&gt;=5,"Medium","Low"))))</f>
        <v>Medium</v>
      </c>
      <c r="P9" s="14" t="n">
        <v>2</v>
      </c>
      <c r="Q9" s="14" t="n">
        <v>3</v>
      </c>
      <c r="R9" s="13" t="n">
        <f aca="false">IF(P9="","",P9*Q9)</f>
        <v>6</v>
      </c>
      <c r="S9" s="13" t="str">
        <f aca="false">IF(R9="","",IF(R9&gt;=16,"Very high",IF(R9&gt;=10,"High",IF(R9&gt;=5,"Medium","Low"))))</f>
        <v>Medium</v>
      </c>
      <c r="T9" s="13" t="str">
        <f aca="false">IF(J9="","New",IF(N9&lt;J9,"Down",IF(N9&gt;J9,"Up","Same")))</f>
        <v>Down</v>
      </c>
      <c r="U9" s="13" t="s">
        <v>263</v>
      </c>
      <c r="V9" s="13" t="s">
        <v>275</v>
      </c>
    </row>
    <row r="10" customFormat="false" ht="15" hidden="false" customHeight="false" outlineLevel="0" collapsed="false">
      <c r="A10" s="12" t="s">
        <v>276</v>
      </c>
      <c r="B10" s="13" t="s">
        <v>277</v>
      </c>
      <c r="C10" s="13" t="s">
        <v>116</v>
      </c>
      <c r="D10" s="14" t="n">
        <v>3</v>
      </c>
      <c r="E10" s="14" t="n">
        <v>3</v>
      </c>
      <c r="F10" s="13" t="n">
        <f aca="false">IF(D10="","",D10*E10)</f>
        <v>9</v>
      </c>
      <c r="G10" s="13" t="str">
        <f aca="false">IF(F10="","",IF(F10&gt;=16,"Very high",IF(F10&gt;=10,"High",IF(F10&gt;=5,"Medium","Low"))))</f>
        <v>Medium</v>
      </c>
      <c r="H10" s="14" t="n">
        <v>3</v>
      </c>
      <c r="I10" s="14" t="n">
        <v>3</v>
      </c>
      <c r="J10" s="13" t="n">
        <f aca="false">IF(H10="","",H10*I10)</f>
        <v>9</v>
      </c>
      <c r="K10" s="13" t="str">
        <f aca="false">IF(J10="","",IF(J10&gt;=16,"Very high",IF(J10&gt;=10,"High",IF(J10&gt;=5,"Medium","Low"))))</f>
        <v>Medium</v>
      </c>
      <c r="L10" s="14" t="n">
        <v>2</v>
      </c>
      <c r="M10" s="14" t="n">
        <v>3</v>
      </c>
      <c r="N10" s="13" t="n">
        <f aca="false">IF(L10="","",L10*M10)</f>
        <v>6</v>
      </c>
      <c r="O10" s="13" t="str">
        <f aca="false">IF(N10="","",IF(N10&gt;=16,"Very high",IF(N10&gt;=10,"High",IF(N10&gt;=5,"Medium","Low"))))</f>
        <v>Medium</v>
      </c>
      <c r="P10" s="14" t="n">
        <v>1</v>
      </c>
      <c r="Q10" s="14" t="n">
        <v>3</v>
      </c>
      <c r="R10" s="13" t="n">
        <f aca="false">IF(P10="","",P10*Q10)</f>
        <v>3</v>
      </c>
      <c r="S10" s="13" t="str">
        <f aca="false">IF(R10="","",IF(R10&gt;=16,"Very high",IF(R10&gt;=10,"High",IF(R10&gt;=5,"Medium","Low"))))</f>
        <v>Low</v>
      </c>
      <c r="T10" s="13" t="str">
        <f aca="false">IF(J10="","New",IF(N10&lt;J10,"Down",IF(N10&gt;J10,"Up","Same")))</f>
        <v>Down</v>
      </c>
      <c r="U10" s="13" t="s">
        <v>278</v>
      </c>
      <c r="V10" s="13" t="s">
        <v>275</v>
      </c>
    </row>
    <row r="11" customFormat="false" ht="15" hidden="false" customHeight="false" outlineLevel="0" collapsed="false">
      <c r="A11" s="12" t="s">
        <v>279</v>
      </c>
      <c r="B11" s="13" t="s">
        <v>280</v>
      </c>
      <c r="C11" s="13" t="s">
        <v>111</v>
      </c>
      <c r="D11" s="14" t="n">
        <v>3</v>
      </c>
      <c r="E11" s="14" t="n">
        <v>4</v>
      </c>
      <c r="F11" s="13" t="n">
        <f aca="false">IF(D11="","",D11*E11)</f>
        <v>12</v>
      </c>
      <c r="G11" s="13" t="str">
        <f aca="false">IF(F11="","",IF(F11&gt;=16,"Very high",IF(F11&gt;=10,"High",IF(F11&gt;=5,"Medium","Low"))))</f>
        <v>High</v>
      </c>
      <c r="H11" s="14" t="n">
        <v>2</v>
      </c>
      <c r="I11" s="14" t="n">
        <v>4</v>
      </c>
      <c r="J11" s="13" t="n">
        <f aca="false">IF(H11="","",H11*I11)</f>
        <v>8</v>
      </c>
      <c r="K11" s="13" t="str">
        <f aca="false">IF(J11="","",IF(J11&gt;=16,"Very high",IF(J11&gt;=10,"High",IF(J11&gt;=5,"Medium","Low"))))</f>
        <v>Medium</v>
      </c>
      <c r="L11" s="14" t="n">
        <v>1</v>
      </c>
      <c r="M11" s="14" t="n">
        <v>4</v>
      </c>
      <c r="N11" s="13" t="n">
        <f aca="false">IF(L11="","",L11*M11)</f>
        <v>4</v>
      </c>
      <c r="O11" s="13" t="str">
        <f aca="false">IF(N11="","",IF(N11&gt;=16,"Very high",IF(N11&gt;=10,"High",IF(N11&gt;=5,"Medium","Low"))))</f>
        <v>Low</v>
      </c>
      <c r="P11" s="14" t="n">
        <v>1</v>
      </c>
      <c r="Q11" s="14" t="n">
        <v>4</v>
      </c>
      <c r="R11" s="13" t="n">
        <f aca="false">IF(P11="","",P11*Q11)</f>
        <v>4</v>
      </c>
      <c r="S11" s="13" t="str">
        <f aca="false">IF(R11="","",IF(R11&gt;=16,"Very high",IF(R11&gt;=10,"High",IF(R11&gt;=5,"Medium","Low"))))</f>
        <v>Low</v>
      </c>
      <c r="T11" s="13" t="str">
        <f aca="false">IF(J11="","New",IF(N11&lt;J11,"Down",IF(N11&gt;J11,"Up","Same")))</f>
        <v>Down</v>
      </c>
      <c r="U11" s="13" t="s">
        <v>281</v>
      </c>
      <c r="V11" s="13" t="s">
        <v>282</v>
      </c>
    </row>
    <row r="12" customFormat="false" ht="15" hidden="false" customHeight="false" outlineLevel="0" collapsed="false">
      <c r="A12" s="12" t="s">
        <v>283</v>
      </c>
      <c r="B12" s="13" t="s">
        <v>284</v>
      </c>
      <c r="C12" s="13" t="s">
        <v>285</v>
      </c>
      <c r="D12" s="14" t="n">
        <v>3</v>
      </c>
      <c r="E12" s="14" t="n">
        <v>3</v>
      </c>
      <c r="F12" s="13" t="n">
        <f aca="false">IF(D12="","",D12*E12)</f>
        <v>9</v>
      </c>
      <c r="G12" s="13" t="str">
        <f aca="false">IF(F12="","",IF(F12&gt;=16,"Very high",IF(F12&gt;=10,"High",IF(F12&gt;=5,"Medium","Low"))))</f>
        <v>Medium</v>
      </c>
      <c r="H12" s="14" t="n">
        <v>3</v>
      </c>
      <c r="I12" s="14" t="n">
        <v>3</v>
      </c>
      <c r="J12" s="13" t="n">
        <f aca="false">IF(H12="","",H12*I12)</f>
        <v>9</v>
      </c>
      <c r="K12" s="13" t="str">
        <f aca="false">IF(J12="","",IF(J12&gt;=16,"Very high",IF(J12&gt;=10,"High",IF(J12&gt;=5,"Medium","Low"))))</f>
        <v>Medium</v>
      </c>
      <c r="L12" s="14" t="n">
        <v>3</v>
      </c>
      <c r="M12" s="14" t="n">
        <v>3</v>
      </c>
      <c r="N12" s="13" t="n">
        <f aca="false">IF(L12="","",L12*M12)</f>
        <v>9</v>
      </c>
      <c r="O12" s="13" t="str">
        <f aca="false">IF(N12="","",IF(N12&gt;=16,"Very high",IF(N12&gt;=10,"High",IF(N12&gt;=5,"Medium","Low"))))</f>
        <v>Medium</v>
      </c>
      <c r="P12" s="14" t="n">
        <v>2</v>
      </c>
      <c r="Q12" s="14" t="n">
        <v>3</v>
      </c>
      <c r="R12" s="13" t="n">
        <f aca="false">IF(P12="","",P12*Q12)</f>
        <v>6</v>
      </c>
      <c r="S12" s="13" t="str">
        <f aca="false">IF(R12="","",IF(R12&gt;=16,"Very high",IF(R12&gt;=10,"High",IF(R12&gt;=5,"Medium","Low"))))</f>
        <v>Medium</v>
      </c>
      <c r="T12" s="13" t="str">
        <f aca="false">IF(J12="","New",IF(N12&lt;J12,"Down",IF(N12&gt;J12,"Up","Same")))</f>
        <v>Same</v>
      </c>
      <c r="U12" s="13" t="s">
        <v>263</v>
      </c>
      <c r="V12" s="13" t="s">
        <v>272</v>
      </c>
    </row>
    <row r="13" customFormat="false" ht="23.85" hidden="false" customHeight="false" outlineLevel="0" collapsed="false">
      <c r="A13" s="12" t="s">
        <v>286</v>
      </c>
      <c r="B13" s="13" t="s">
        <v>287</v>
      </c>
      <c r="C13" s="13" t="s">
        <v>288</v>
      </c>
      <c r="D13" s="14" t="n">
        <v>3</v>
      </c>
      <c r="E13" s="14" t="n">
        <v>4</v>
      </c>
      <c r="F13" s="13" t="n">
        <f aca="false">IF(D13="","",D13*E13)</f>
        <v>12</v>
      </c>
      <c r="G13" s="13" t="str">
        <f aca="false">IF(F13="","",IF(F13&gt;=16,"Very high",IF(F13&gt;=10,"High",IF(F13&gt;=5,"Medium","Low"))))</f>
        <v>High</v>
      </c>
      <c r="H13" s="14" t="n">
        <v>3</v>
      </c>
      <c r="I13" s="14" t="n">
        <v>4</v>
      </c>
      <c r="J13" s="13" t="n">
        <f aca="false">IF(H13="","",H13*I13)</f>
        <v>12</v>
      </c>
      <c r="K13" s="13" t="str">
        <f aca="false">IF(J13="","",IF(J13&gt;=16,"Very high",IF(J13&gt;=10,"High",IF(J13&gt;=5,"Medium","Low"))))</f>
        <v>High</v>
      </c>
      <c r="L13" s="14" t="n">
        <v>3</v>
      </c>
      <c r="M13" s="14" t="n">
        <v>4</v>
      </c>
      <c r="N13" s="13" t="n">
        <f aca="false">IF(L13="","",L13*M13)</f>
        <v>12</v>
      </c>
      <c r="O13" s="13" t="str">
        <f aca="false">IF(N13="","",IF(N13&gt;=16,"Very high",IF(N13&gt;=10,"High",IF(N13&gt;=5,"Medium","Low"))))</f>
        <v>High</v>
      </c>
      <c r="P13" s="14" t="n">
        <v>2</v>
      </c>
      <c r="Q13" s="14" t="n">
        <v>3</v>
      </c>
      <c r="R13" s="13" t="n">
        <f aca="false">IF(P13="","",P13*Q13)</f>
        <v>6</v>
      </c>
      <c r="S13" s="13" t="str">
        <f aca="false">IF(R13="","",IF(R13&gt;=16,"Very high",IF(R13&gt;=10,"High",IF(R13&gt;=5,"Medium","Low"))))</f>
        <v>Medium</v>
      </c>
      <c r="T13" s="13" t="str">
        <f aca="false">IF(J13="","New",IF(N13&lt;J13,"Down",IF(N13&gt;J13,"Up","Same")))</f>
        <v>Same</v>
      </c>
      <c r="U13" s="13" t="s">
        <v>289</v>
      </c>
      <c r="V13" s="13" t="s">
        <v>290</v>
      </c>
    </row>
    <row r="14" customFormat="false" ht="15" hidden="false" customHeight="false" outlineLevel="0" collapsed="false">
      <c r="A14" s="12" t="s">
        <v>291</v>
      </c>
      <c r="B14" s="13" t="s">
        <v>292</v>
      </c>
      <c r="C14" s="13" t="s">
        <v>293</v>
      </c>
      <c r="D14" s="14" t="n">
        <v>4</v>
      </c>
      <c r="E14" s="14" t="n">
        <v>3</v>
      </c>
      <c r="F14" s="13" t="n">
        <f aca="false">IF(D14="","",D14*E14)</f>
        <v>12</v>
      </c>
      <c r="G14" s="13" t="str">
        <f aca="false">IF(F14="","",IF(F14&gt;=16,"Very high",IF(F14&gt;=10,"High",IF(F14&gt;=5,"Medium","Low"))))</f>
        <v>High</v>
      </c>
      <c r="H14" s="14" t="n">
        <v>3</v>
      </c>
      <c r="I14" s="14" t="n">
        <v>3</v>
      </c>
      <c r="J14" s="13" t="n">
        <f aca="false">IF(H14="","",H14*I14)</f>
        <v>9</v>
      </c>
      <c r="K14" s="13" t="str">
        <f aca="false">IF(J14="","",IF(J14&gt;=16,"Very high",IF(J14&gt;=10,"High",IF(J14&gt;=5,"Medium","Low"))))</f>
        <v>Medium</v>
      </c>
      <c r="L14" s="14" t="n">
        <v>2</v>
      </c>
      <c r="M14" s="14" t="n">
        <v>3</v>
      </c>
      <c r="N14" s="13" t="n">
        <f aca="false">IF(L14="","",L14*M14)</f>
        <v>6</v>
      </c>
      <c r="O14" s="13" t="str">
        <f aca="false">IF(N14="","",IF(N14&gt;=16,"Very high",IF(N14&gt;=10,"High",IF(N14&gt;=5,"Medium","Low"))))</f>
        <v>Medium</v>
      </c>
      <c r="P14" s="14" t="n">
        <v>2</v>
      </c>
      <c r="Q14" s="14" t="n">
        <v>2</v>
      </c>
      <c r="R14" s="13" t="n">
        <f aca="false">IF(P14="","",P14*Q14)</f>
        <v>4</v>
      </c>
      <c r="S14" s="13" t="str">
        <f aca="false">IF(R14="","",IF(R14&gt;=16,"Very high",IF(R14&gt;=10,"High",IF(R14&gt;=5,"Medium","Low"))))</f>
        <v>Low</v>
      </c>
      <c r="T14" s="13" t="str">
        <f aca="false">IF(J14="","New",IF(N14&lt;J14,"Down",IF(N14&gt;J14,"Up","Same")))</f>
        <v>Down</v>
      </c>
      <c r="U14" s="13" t="s">
        <v>263</v>
      </c>
      <c r="V14" s="13" t="s">
        <v>294</v>
      </c>
    </row>
    <row r="15" customFormat="false" ht="15" hidden="false" customHeight="false" outlineLevel="0" collapsed="false">
      <c r="A15" s="12" t="s">
        <v>295</v>
      </c>
      <c r="B15" s="13" t="s">
        <v>296</v>
      </c>
      <c r="C15" s="13" t="s">
        <v>140</v>
      </c>
      <c r="D15" s="14" t="n">
        <v>4</v>
      </c>
      <c r="E15" s="14" t="n">
        <v>3</v>
      </c>
      <c r="F15" s="13" t="n">
        <f aca="false">IF(D15="","",D15*E15)</f>
        <v>12</v>
      </c>
      <c r="G15" s="13" t="str">
        <f aca="false">IF(F15="","",IF(F15&gt;=16,"Very high",IF(F15&gt;=10,"High",IF(F15&gt;=5,"Medium","Low"))))</f>
        <v>High</v>
      </c>
      <c r="H15" s="14" t="n">
        <v>3</v>
      </c>
      <c r="I15" s="14" t="n">
        <v>3</v>
      </c>
      <c r="J15" s="13" t="n">
        <f aca="false">IF(H15="","",H15*I15)</f>
        <v>9</v>
      </c>
      <c r="K15" s="13" t="str">
        <f aca="false">IF(J15="","",IF(J15&gt;=16,"Very high",IF(J15&gt;=10,"High",IF(J15&gt;=5,"Medium","Low"))))</f>
        <v>Medium</v>
      </c>
      <c r="L15" s="14" t="n">
        <v>3</v>
      </c>
      <c r="M15" s="14" t="n">
        <v>3</v>
      </c>
      <c r="N15" s="13" t="n">
        <f aca="false">IF(L15="","",L15*M15)</f>
        <v>9</v>
      </c>
      <c r="O15" s="13" t="str">
        <f aca="false">IF(N15="","",IF(N15&gt;=16,"Very high",IF(N15&gt;=10,"High",IF(N15&gt;=5,"Medium","Low"))))</f>
        <v>Medium</v>
      </c>
      <c r="P15" s="14" t="n">
        <v>3</v>
      </c>
      <c r="Q15" s="14" t="n">
        <v>2</v>
      </c>
      <c r="R15" s="13" t="n">
        <f aca="false">IF(P15="","",P15*Q15)</f>
        <v>6</v>
      </c>
      <c r="S15" s="13" t="str">
        <f aca="false">IF(R15="","",IF(R15&gt;=16,"Very high",IF(R15&gt;=10,"High",IF(R15&gt;=5,"Medium","Low"))))</f>
        <v>Medium</v>
      </c>
      <c r="T15" s="13" t="str">
        <f aca="false">IF(J15="","New",IF(N15&lt;J15,"Down",IF(N15&gt;J15,"Up","Same")))</f>
        <v>Same</v>
      </c>
      <c r="U15" s="13" t="s">
        <v>263</v>
      </c>
      <c r="V15" s="13" t="s">
        <v>272</v>
      </c>
    </row>
    <row r="16" customFormat="false" ht="15" hidden="false" customHeight="false" outlineLevel="0" collapsed="false">
      <c r="A16" s="12" t="s">
        <v>297</v>
      </c>
      <c r="B16" s="13" t="s">
        <v>298</v>
      </c>
      <c r="C16" s="13" t="s">
        <v>299</v>
      </c>
      <c r="D16" s="14" t="n">
        <v>3</v>
      </c>
      <c r="E16" s="14" t="n">
        <v>5</v>
      </c>
      <c r="F16" s="13" t="n">
        <f aca="false">IF(D16="","",D16*E16)</f>
        <v>15</v>
      </c>
      <c r="G16" s="13" t="str">
        <f aca="false">IF(F16="","",IF(F16&gt;=16,"Very high",IF(F16&gt;=10,"High",IF(F16&gt;=5,"Medium","Low"))))</f>
        <v>High</v>
      </c>
      <c r="H16" s="14" t="n">
        <v>3</v>
      </c>
      <c r="I16" s="14" t="n">
        <v>5</v>
      </c>
      <c r="J16" s="13" t="n">
        <f aca="false">IF(H16="","",H16*I16)</f>
        <v>15</v>
      </c>
      <c r="K16" s="13" t="str">
        <f aca="false">IF(J16="","",IF(J16&gt;=16,"Very high",IF(J16&gt;=10,"High",IF(J16&gt;=5,"Medium","Low"))))</f>
        <v>High</v>
      </c>
      <c r="L16" s="14" t="n">
        <v>3</v>
      </c>
      <c r="M16" s="14" t="n">
        <v>5</v>
      </c>
      <c r="N16" s="13" t="n">
        <f aca="false">IF(L16="","",L16*M16)</f>
        <v>15</v>
      </c>
      <c r="O16" s="13" t="str">
        <f aca="false">IF(N16="","",IF(N16&gt;=16,"Very high",IF(N16&gt;=10,"High",IF(N16&gt;=5,"Medium","Low"))))</f>
        <v>High</v>
      </c>
      <c r="P16" s="14" t="n">
        <v>1</v>
      </c>
      <c r="Q16" s="14" t="n">
        <v>5</v>
      </c>
      <c r="R16" s="13" t="n">
        <f aca="false">IF(P16="","",P16*Q16)</f>
        <v>5</v>
      </c>
      <c r="S16" s="13" t="str">
        <f aca="false">IF(R16="","",IF(R16&gt;=16,"Very high",IF(R16&gt;=10,"High",IF(R16&gt;=5,"Medium","Low"))))</f>
        <v>Medium</v>
      </c>
      <c r="T16" s="13" t="str">
        <f aca="false">IF(J16="","New",IF(N16&lt;J16,"Down",IF(N16&gt;J16,"Up","Same")))</f>
        <v>Same</v>
      </c>
      <c r="U16" s="13" t="s">
        <v>289</v>
      </c>
      <c r="V16" s="13" t="s">
        <v>300</v>
      </c>
    </row>
    <row r="17" customFormat="false" ht="15" hidden="false" customHeight="false" outlineLevel="0" collapsed="false">
      <c r="A17" s="12" t="s">
        <v>301</v>
      </c>
      <c r="B17" s="13" t="s">
        <v>302</v>
      </c>
      <c r="C17" s="13" t="s">
        <v>303</v>
      </c>
      <c r="D17" s="14" t="n">
        <v>3</v>
      </c>
      <c r="E17" s="14" t="n">
        <v>3</v>
      </c>
      <c r="F17" s="13" t="n">
        <f aca="false">IF(D17="","",D17*E17)</f>
        <v>9</v>
      </c>
      <c r="G17" s="13" t="str">
        <f aca="false">IF(F17="","",IF(F17&gt;=16,"Very high",IF(F17&gt;=10,"High",IF(F17&gt;=5,"Medium","Low"))))</f>
        <v>Medium</v>
      </c>
      <c r="H17" s="14" t="n">
        <v>3</v>
      </c>
      <c r="I17" s="14" t="n">
        <v>3</v>
      </c>
      <c r="J17" s="13" t="n">
        <f aca="false">IF(H17="","",H17*I17)</f>
        <v>9</v>
      </c>
      <c r="K17" s="13" t="str">
        <f aca="false">IF(J17="","",IF(J17&gt;=16,"Very high",IF(J17&gt;=10,"High",IF(J17&gt;=5,"Medium","Low"))))</f>
        <v>Medium</v>
      </c>
      <c r="L17" s="14" t="n">
        <v>3</v>
      </c>
      <c r="M17" s="14" t="n">
        <v>3</v>
      </c>
      <c r="N17" s="13" t="n">
        <f aca="false">IF(L17="","",L17*M17)</f>
        <v>9</v>
      </c>
      <c r="O17" s="13" t="str">
        <f aca="false">IF(N17="","",IF(N17&gt;=16,"Very high",IF(N17&gt;=10,"High",IF(N17&gt;=5,"Medium","Low"))))</f>
        <v>Medium</v>
      </c>
      <c r="P17" s="14" t="n">
        <v>2</v>
      </c>
      <c r="Q17" s="14" t="n">
        <v>3</v>
      </c>
      <c r="R17" s="13" t="n">
        <f aca="false">IF(P17="","",P17*Q17)</f>
        <v>6</v>
      </c>
      <c r="S17" s="13" t="str">
        <f aca="false">IF(R17="","",IF(R17&gt;=16,"Very high",IF(R17&gt;=10,"High",IF(R17&gt;=5,"Medium","Low"))))</f>
        <v>Medium</v>
      </c>
      <c r="T17" s="13" t="str">
        <f aca="false">IF(J17="","New",IF(N17&lt;J17,"Down",IF(N17&gt;J17,"Up","Same")))</f>
        <v>Same</v>
      </c>
      <c r="U17" s="13" t="s">
        <v>263</v>
      </c>
      <c r="V17" s="13" t="s">
        <v>272</v>
      </c>
    </row>
    <row r="18" customFormat="false" ht="15" hidden="false" customHeight="false" outlineLevel="0" collapsed="false">
      <c r="A18" s="12" t="s">
        <v>304</v>
      </c>
      <c r="B18" s="13" t="s">
        <v>305</v>
      </c>
      <c r="C18" s="13" t="s">
        <v>171</v>
      </c>
      <c r="D18" s="14" t="n">
        <v>3</v>
      </c>
      <c r="E18" s="14" t="n">
        <v>5</v>
      </c>
      <c r="F18" s="13" t="n">
        <f aca="false">IF(D18="","",D18*E18)</f>
        <v>15</v>
      </c>
      <c r="G18" s="13" t="str">
        <f aca="false">IF(F18="","",IF(F18&gt;=16,"Very high",IF(F18&gt;=10,"High",IF(F18&gt;=5,"Medium","Low"))))</f>
        <v>High</v>
      </c>
      <c r="H18" s="14" t="n">
        <v>3</v>
      </c>
      <c r="I18" s="14" t="n">
        <v>4</v>
      </c>
      <c r="J18" s="13" t="n">
        <f aca="false">IF(H18="","",H18*I18)</f>
        <v>12</v>
      </c>
      <c r="K18" s="13" t="str">
        <f aca="false">IF(J18="","",IF(J18&gt;=16,"Very high",IF(J18&gt;=10,"High",IF(J18&gt;=5,"Medium","Low"))))</f>
        <v>High</v>
      </c>
      <c r="L18" s="14" t="n">
        <v>2</v>
      </c>
      <c r="M18" s="14" t="n">
        <v>4</v>
      </c>
      <c r="N18" s="13" t="n">
        <f aca="false">IF(L18="","",L18*M18)</f>
        <v>8</v>
      </c>
      <c r="O18" s="13" t="str">
        <f aca="false">IF(N18="","",IF(N18&gt;=16,"Very high",IF(N18&gt;=10,"High",IF(N18&gt;=5,"Medium","Low"))))</f>
        <v>Medium</v>
      </c>
      <c r="P18" s="14" t="n">
        <v>2</v>
      </c>
      <c r="Q18" s="14" t="n">
        <v>4</v>
      </c>
      <c r="R18" s="13" t="n">
        <f aca="false">IF(P18="","",P18*Q18)</f>
        <v>8</v>
      </c>
      <c r="S18" s="13" t="str">
        <f aca="false">IF(R18="","",IF(R18&gt;=16,"Very high",IF(R18&gt;=10,"High",IF(R18&gt;=5,"Medium","Low"))))</f>
        <v>Medium</v>
      </c>
      <c r="T18" s="13" t="str">
        <f aca="false">IF(J18="","New",IF(N18&lt;J18,"Down",IF(N18&gt;J18,"Up","Same")))</f>
        <v>Down</v>
      </c>
      <c r="U18" s="13" t="s">
        <v>281</v>
      </c>
      <c r="V18" s="13" t="s">
        <v>264</v>
      </c>
    </row>
    <row r="19" customFormat="false" ht="15" hidden="false" customHeight="false" outlineLevel="0" collapsed="false">
      <c r="A19" s="12" t="s">
        <v>306</v>
      </c>
      <c r="B19" s="13" t="s">
        <v>307</v>
      </c>
      <c r="C19" s="13" t="s">
        <v>167</v>
      </c>
      <c r="D19" s="14" t="n">
        <v>3</v>
      </c>
      <c r="E19" s="14" t="n">
        <v>4</v>
      </c>
      <c r="F19" s="13" t="n">
        <f aca="false">IF(D19="","",D19*E19)</f>
        <v>12</v>
      </c>
      <c r="G19" s="13" t="str">
        <f aca="false">IF(F19="","",IF(F19&gt;=16,"Very high",IF(F19&gt;=10,"High",IF(F19&gt;=5,"Medium","Low"))))</f>
        <v>High</v>
      </c>
      <c r="H19" s="14" t="n">
        <v>2</v>
      </c>
      <c r="I19" s="14" t="n">
        <v>4</v>
      </c>
      <c r="J19" s="13" t="n">
        <f aca="false">IF(H19="","",H19*I19)</f>
        <v>8</v>
      </c>
      <c r="K19" s="13" t="str">
        <f aca="false">IF(J19="","",IF(J19&gt;=16,"Very high",IF(J19&gt;=10,"High",IF(J19&gt;=5,"Medium","Low"))))</f>
        <v>Medium</v>
      </c>
      <c r="L19" s="14" t="n">
        <v>1</v>
      </c>
      <c r="M19" s="14" t="n">
        <v>4</v>
      </c>
      <c r="N19" s="13" t="n">
        <f aca="false">IF(L19="","",L19*M19)</f>
        <v>4</v>
      </c>
      <c r="O19" s="13" t="str">
        <f aca="false">IF(N19="","",IF(N19&gt;=16,"Very high",IF(N19&gt;=10,"High",IF(N19&gt;=5,"Medium","Low"))))</f>
        <v>Low</v>
      </c>
      <c r="P19" s="14" t="n">
        <v>1</v>
      </c>
      <c r="Q19" s="14" t="n">
        <v>4</v>
      </c>
      <c r="R19" s="13" t="n">
        <f aca="false">IF(P19="","",P19*Q19)</f>
        <v>4</v>
      </c>
      <c r="S19" s="13" t="str">
        <f aca="false">IF(R19="","",IF(R19&gt;=16,"Very high",IF(R19&gt;=10,"High",IF(R19&gt;=5,"Medium","Low"))))</f>
        <v>Low</v>
      </c>
      <c r="T19" s="13" t="str">
        <f aca="false">IF(J19="","New",IF(N19&lt;J19,"Down",IF(N19&gt;J19,"Up","Same")))</f>
        <v>Down</v>
      </c>
      <c r="U19" s="13" t="s">
        <v>281</v>
      </c>
      <c r="V19" s="13" t="s">
        <v>272</v>
      </c>
    </row>
    <row r="20" customFormat="false" ht="15" hidden="false" customHeight="false" outlineLevel="0" collapsed="false">
      <c r="A20" s="12" t="s">
        <v>308</v>
      </c>
      <c r="B20" s="13" t="s">
        <v>309</v>
      </c>
      <c r="C20" s="13" t="s">
        <v>175</v>
      </c>
      <c r="D20" s="14" t="n">
        <v>3</v>
      </c>
      <c r="E20" s="14" t="n">
        <v>3</v>
      </c>
      <c r="F20" s="13" t="n">
        <f aca="false">IF(D20="","",D20*E20)</f>
        <v>9</v>
      </c>
      <c r="G20" s="13" t="str">
        <f aca="false">IF(F20="","",IF(F20&gt;=16,"Very high",IF(F20&gt;=10,"High",IF(F20&gt;=5,"Medium","Low"))))</f>
        <v>Medium</v>
      </c>
      <c r="H20" s="14" t="n">
        <v>3</v>
      </c>
      <c r="I20" s="14" t="n">
        <v>3</v>
      </c>
      <c r="J20" s="13" t="n">
        <f aca="false">IF(H20="","",H20*I20)</f>
        <v>9</v>
      </c>
      <c r="K20" s="13" t="str">
        <f aca="false">IF(J20="","",IF(J20&gt;=16,"Very high",IF(J20&gt;=10,"High",IF(J20&gt;=5,"Medium","Low"))))</f>
        <v>Medium</v>
      </c>
      <c r="L20" s="14" t="n">
        <v>2</v>
      </c>
      <c r="M20" s="14" t="n">
        <v>3</v>
      </c>
      <c r="N20" s="13" t="n">
        <f aca="false">IF(L20="","",L20*M20)</f>
        <v>6</v>
      </c>
      <c r="O20" s="13" t="str">
        <f aca="false">IF(N20="","",IF(N20&gt;=16,"Very high",IF(N20&gt;=10,"High",IF(N20&gt;=5,"Medium","Low"))))</f>
        <v>Medium</v>
      </c>
      <c r="P20" s="14" t="n">
        <v>2</v>
      </c>
      <c r="Q20" s="14" t="n">
        <v>3</v>
      </c>
      <c r="R20" s="13" t="n">
        <f aca="false">IF(P20="","",P20*Q20)</f>
        <v>6</v>
      </c>
      <c r="S20" s="13" t="str">
        <f aca="false">IF(R20="","",IF(R20&gt;=16,"Very high",IF(R20&gt;=10,"High",IF(R20&gt;=5,"Medium","Low"))))</f>
        <v>Medium</v>
      </c>
      <c r="T20" s="13" t="str">
        <f aca="false">IF(J20="","New",IF(N20&lt;J20,"Down",IF(N20&gt;J20,"Up","Same")))</f>
        <v>Down</v>
      </c>
      <c r="U20" s="13" t="s">
        <v>310</v>
      </c>
      <c r="V20" s="13" t="s">
        <v>311</v>
      </c>
    </row>
    <row r="21" customFormat="false" ht="15" hidden="false" customHeight="false" outlineLevel="0" collapsed="false">
      <c r="A21" s="12" t="s">
        <v>312</v>
      </c>
      <c r="B21" s="13" t="s">
        <v>313</v>
      </c>
      <c r="C21" s="13" t="s">
        <v>163</v>
      </c>
      <c r="D21" s="14" t="n">
        <v>3</v>
      </c>
      <c r="E21" s="14" t="n">
        <v>3</v>
      </c>
      <c r="F21" s="13" t="n">
        <f aca="false">IF(D21="","",D21*E21)</f>
        <v>9</v>
      </c>
      <c r="G21" s="13" t="str">
        <f aca="false">IF(F21="","",IF(F21&gt;=16,"Very high",IF(F21&gt;=10,"High",IF(F21&gt;=5,"Medium","Low"))))</f>
        <v>Medium</v>
      </c>
      <c r="H21" s="14" t="n">
        <v>2</v>
      </c>
      <c r="I21" s="14" t="n">
        <v>3</v>
      </c>
      <c r="J21" s="13" t="n">
        <f aca="false">IF(H21="","",H21*I21)</f>
        <v>6</v>
      </c>
      <c r="K21" s="13" t="str">
        <f aca="false">IF(J21="","",IF(J21&gt;=16,"Very high",IF(J21&gt;=10,"High",IF(J21&gt;=5,"Medium","Low"))))</f>
        <v>Medium</v>
      </c>
      <c r="L21" s="14" t="n">
        <v>1</v>
      </c>
      <c r="M21" s="14" t="n">
        <v>3</v>
      </c>
      <c r="N21" s="13" t="n">
        <f aca="false">IF(L21="","",L21*M21)</f>
        <v>3</v>
      </c>
      <c r="O21" s="13" t="str">
        <f aca="false">IF(N21="","",IF(N21&gt;=16,"Very high",IF(N21&gt;=10,"High",IF(N21&gt;=5,"Medium","Low"))))</f>
        <v>Low</v>
      </c>
      <c r="P21" s="14" t="n">
        <v>1</v>
      </c>
      <c r="Q21" s="14" t="n">
        <v>3</v>
      </c>
      <c r="R21" s="13" t="n">
        <f aca="false">IF(P21="","",P21*Q21)</f>
        <v>3</v>
      </c>
      <c r="S21" s="13" t="str">
        <f aca="false">IF(R21="","",IF(R21&gt;=16,"Very high",IF(R21&gt;=10,"High",IF(R21&gt;=5,"Medium","Low"))))</f>
        <v>Low</v>
      </c>
      <c r="T21" s="13" t="str">
        <f aca="false">IF(J21="","New",IF(N21&lt;J21,"Down",IF(N21&gt;J21,"Up","Same")))</f>
        <v>Down</v>
      </c>
      <c r="U21" s="13" t="s">
        <v>281</v>
      </c>
      <c r="V21" s="13" t="s">
        <v>314</v>
      </c>
    </row>
    <row r="22" customFormat="false" ht="23.85" hidden="false" customHeight="false" outlineLevel="0" collapsed="false">
      <c r="A22" s="12" t="s">
        <v>315</v>
      </c>
      <c r="B22" s="13" t="s">
        <v>316</v>
      </c>
      <c r="C22" s="13" t="s">
        <v>183</v>
      </c>
      <c r="D22" s="14" t="n">
        <v>3</v>
      </c>
      <c r="E22" s="14" t="n">
        <v>2</v>
      </c>
      <c r="F22" s="13" t="n">
        <f aca="false">IF(D22="","",D22*E22)</f>
        <v>6</v>
      </c>
      <c r="G22" s="13" t="str">
        <f aca="false">IF(F22="","",IF(F22&gt;=16,"Very high",IF(F22&gt;=10,"High",IF(F22&gt;=5,"Medium","Low"))))</f>
        <v>Medium</v>
      </c>
      <c r="H22" s="14" t="n">
        <v>3</v>
      </c>
      <c r="I22" s="14" t="n">
        <v>2</v>
      </c>
      <c r="J22" s="13" t="n">
        <f aca="false">IF(H22="","",H22*I22)</f>
        <v>6</v>
      </c>
      <c r="K22" s="13" t="str">
        <f aca="false">IF(J22="","",IF(J22&gt;=16,"Very high",IF(J22&gt;=10,"High",IF(J22&gt;=5,"Medium","Low"))))</f>
        <v>Medium</v>
      </c>
      <c r="L22" s="14" t="n">
        <v>3</v>
      </c>
      <c r="M22" s="14" t="n">
        <v>2</v>
      </c>
      <c r="N22" s="13" t="n">
        <f aca="false">IF(L22="","",L22*M22)</f>
        <v>6</v>
      </c>
      <c r="O22" s="13" t="str">
        <f aca="false">IF(N22="","",IF(N22&gt;=16,"Very high",IF(N22&gt;=10,"High",IF(N22&gt;=5,"Medium","Low"))))</f>
        <v>Medium</v>
      </c>
      <c r="P22" s="14" t="n">
        <v>2</v>
      </c>
      <c r="Q22" s="14" t="n">
        <v>2</v>
      </c>
      <c r="R22" s="13" t="n">
        <f aca="false">IF(P22="","",P22*Q22)</f>
        <v>4</v>
      </c>
      <c r="S22" s="13" t="str">
        <f aca="false">IF(R22="","",IF(R22&gt;=16,"Very high",IF(R22&gt;=10,"High",IF(R22&gt;=5,"Medium","Low"))))</f>
        <v>Low</v>
      </c>
      <c r="T22" s="13" t="str">
        <f aca="false">IF(J22="","New",IF(N22&lt;J22,"Down",IF(N22&gt;J22,"Up","Same")))</f>
        <v>Same</v>
      </c>
      <c r="U22" s="13" t="s">
        <v>317</v>
      </c>
      <c r="V22" s="13" t="s">
        <v>318</v>
      </c>
    </row>
    <row r="23" customFormat="false" ht="23.85" hidden="false" customHeight="false" outlineLevel="0" collapsed="false">
      <c r="A23" s="12" t="s">
        <v>319</v>
      </c>
      <c r="B23" s="13" t="s">
        <v>320</v>
      </c>
      <c r="C23" s="13" t="s">
        <v>187</v>
      </c>
      <c r="D23" s="14" t="n">
        <v>3</v>
      </c>
      <c r="E23" s="14" t="n">
        <v>4</v>
      </c>
      <c r="F23" s="13" t="n">
        <f aca="false">IF(D23="","",D23*E23)</f>
        <v>12</v>
      </c>
      <c r="G23" s="13" t="str">
        <f aca="false">IF(F23="","",IF(F23&gt;=16,"Very high",IF(F23&gt;=10,"High",IF(F23&gt;=5,"Medium","Low"))))</f>
        <v>High</v>
      </c>
      <c r="H23" s="14"/>
      <c r="I23" s="14"/>
      <c r="J23" s="13" t="str">
        <f aca="false">IF(H23="","",H23*I23)</f>
        <v/>
      </c>
      <c r="K23" s="13" t="str">
        <f aca="false">IF(J23="","",IF(J23&gt;=16,"Very high",IF(J23&gt;=10,"High",IF(J23&gt;=5,"Medium","Low"))))</f>
        <v/>
      </c>
      <c r="L23" s="14" t="n">
        <v>4</v>
      </c>
      <c r="M23" s="14" t="n">
        <v>4</v>
      </c>
      <c r="N23" s="13" t="n">
        <f aca="false">IF(L23="","",L23*M23)</f>
        <v>16</v>
      </c>
      <c r="O23" s="13" t="str">
        <f aca="false">IF(N23="","",IF(N23&gt;=16,"Very high",IF(N23&gt;=10,"High",IF(N23&gt;=5,"Medium","Low"))))</f>
        <v>Very high</v>
      </c>
      <c r="P23" s="14" t="n">
        <v>1</v>
      </c>
      <c r="Q23" s="14" t="n">
        <v>4</v>
      </c>
      <c r="R23" s="13" t="n">
        <f aca="false">IF(P23="","",P23*Q23)</f>
        <v>4</v>
      </c>
      <c r="S23" s="13" t="str">
        <f aca="false">IF(R23="","",IF(R23&gt;=16,"Very high",IF(R23&gt;=10,"High",IF(R23&gt;=5,"Medium","Low"))))</f>
        <v>Low</v>
      </c>
      <c r="T23" s="13" t="str">
        <f aca="false">IF(J23="","New",IF(N23&lt;J23,"Down",IF(N23&gt;J23,"Up","Same")))</f>
        <v>New</v>
      </c>
      <c r="U23" s="13" t="s">
        <v>321</v>
      </c>
      <c r="V23" s="13" t="s">
        <v>294</v>
      </c>
    </row>
    <row r="24" customFormat="false" ht="23.85" hidden="false" customHeight="false" outlineLevel="0" collapsed="false">
      <c r="A24" s="12" t="s">
        <v>322</v>
      </c>
      <c r="B24" s="13" t="s">
        <v>323</v>
      </c>
      <c r="C24" s="13" t="s">
        <v>324</v>
      </c>
      <c r="D24" s="14" t="n">
        <v>3</v>
      </c>
      <c r="E24" s="14" t="n">
        <v>4</v>
      </c>
      <c r="F24" s="13" t="n">
        <f aca="false">IF(D24="","",D24*E24)</f>
        <v>12</v>
      </c>
      <c r="G24" s="13" t="str">
        <f aca="false">IF(F24="","",IF(F24&gt;=16,"Very high",IF(F24&gt;=10,"High",IF(F24&gt;=5,"Medium","Low"))))</f>
        <v>High</v>
      </c>
      <c r="H24" s="14"/>
      <c r="I24" s="14"/>
      <c r="J24" s="13" t="str">
        <f aca="false">IF(H24="","",H24*I24)</f>
        <v/>
      </c>
      <c r="K24" s="13" t="str">
        <f aca="false">IF(J24="","",IF(J24&gt;=16,"Very high",IF(J24&gt;=10,"High",IF(J24&gt;=5,"Medium","Low"))))</f>
        <v/>
      </c>
      <c r="L24" s="14" t="n">
        <v>3</v>
      </c>
      <c r="M24" s="14" t="n">
        <v>3</v>
      </c>
      <c r="N24" s="13" t="n">
        <f aca="false">IF(L24="","",L24*M24)</f>
        <v>9</v>
      </c>
      <c r="O24" s="13" t="str">
        <f aca="false">IF(N24="","",IF(N24&gt;=16,"Very high",IF(N24&gt;=10,"High",IF(N24&gt;=5,"Medium","Low"))))</f>
        <v>Medium</v>
      </c>
      <c r="P24" s="14" t="n">
        <v>2</v>
      </c>
      <c r="Q24" s="14" t="n">
        <v>3</v>
      </c>
      <c r="R24" s="13" t="n">
        <f aca="false">IF(P24="","",P24*Q24)</f>
        <v>6</v>
      </c>
      <c r="S24" s="13" t="str">
        <f aca="false">IF(R24="","",IF(R24&gt;=16,"Very high",IF(R24&gt;=10,"High",IF(R24&gt;=5,"Medium","Low"))))</f>
        <v>Medium</v>
      </c>
      <c r="T24" s="13" t="str">
        <f aca="false">IF(J24="","New",IF(N24&lt;J24,"Down",IF(N24&gt;J24,"Up","Same")))</f>
        <v>New</v>
      </c>
      <c r="U24" s="13" t="s">
        <v>325</v>
      </c>
      <c r="V24" s="13" t="s">
        <v>264</v>
      </c>
    </row>
    <row r="25" customFormat="false" ht="15" hidden="false" customHeight="false" outlineLevel="0" collapsed="false">
      <c r="A25" s="12" t="s">
        <v>326</v>
      </c>
      <c r="B25" s="13" t="s">
        <v>327</v>
      </c>
      <c r="C25" s="13" t="s">
        <v>209</v>
      </c>
      <c r="D25" s="14" t="n">
        <v>2</v>
      </c>
      <c r="E25" s="14" t="n">
        <v>4</v>
      </c>
      <c r="F25" s="13" t="n">
        <f aca="false">IF(D25="","",D25*E25)</f>
        <v>8</v>
      </c>
      <c r="G25" s="13" t="str">
        <f aca="false">IF(F25="","",IF(F25&gt;=16,"Very high",IF(F25&gt;=10,"High",IF(F25&gt;=5,"Medium","Low"))))</f>
        <v>Medium</v>
      </c>
      <c r="H25" s="14"/>
      <c r="I25" s="14"/>
      <c r="J25" s="13" t="str">
        <f aca="false">IF(H25="","",H25*I25)</f>
        <v/>
      </c>
      <c r="K25" s="13" t="str">
        <f aca="false">IF(J25="","",IF(J25&gt;=16,"Very high",IF(J25&gt;=10,"High",IF(J25&gt;=5,"Medium","Low"))))</f>
        <v/>
      </c>
      <c r="L25" s="14" t="n">
        <v>2</v>
      </c>
      <c r="M25" s="14" t="n">
        <v>4</v>
      </c>
      <c r="N25" s="13" t="n">
        <f aca="false">IF(L25="","",L25*M25)</f>
        <v>8</v>
      </c>
      <c r="O25" s="13" t="str">
        <f aca="false">IF(N25="","",IF(N25&gt;=16,"Very high",IF(N25&gt;=10,"High",IF(N25&gt;=5,"Medium","Low"))))</f>
        <v>Medium</v>
      </c>
      <c r="P25" s="14" t="n">
        <v>1</v>
      </c>
      <c r="Q25" s="14" t="n">
        <v>4</v>
      </c>
      <c r="R25" s="13" t="n">
        <f aca="false">IF(P25="","",P25*Q25)</f>
        <v>4</v>
      </c>
      <c r="S25" s="13" t="str">
        <f aca="false">IF(R25="","",IF(R25&gt;=16,"Very high",IF(R25&gt;=10,"High",IF(R25&gt;=5,"Medium","Low"))))</f>
        <v>Low</v>
      </c>
      <c r="T25" s="13" t="str">
        <f aca="false">IF(J25="","New",IF(N25&lt;J25,"Down",IF(N25&gt;J25,"Up","Same")))</f>
        <v>New</v>
      </c>
      <c r="U25" s="13" t="s">
        <v>325</v>
      </c>
      <c r="V25" s="13" t="s">
        <v>264</v>
      </c>
    </row>
    <row r="26" customFormat="false" ht="15" hidden="false" customHeight="false" outlineLevel="0" collapsed="false">
      <c r="A26" s="12" t="s">
        <v>328</v>
      </c>
      <c r="B26" s="13" t="s">
        <v>329</v>
      </c>
      <c r="C26" s="13" t="s">
        <v>224</v>
      </c>
      <c r="D26" s="14" t="n">
        <v>3</v>
      </c>
      <c r="E26" s="14" t="n">
        <v>4</v>
      </c>
      <c r="F26" s="13" t="n">
        <f aca="false">IF(D26="","",D26*E26)</f>
        <v>12</v>
      </c>
      <c r="G26" s="13" t="str">
        <f aca="false">IF(F26="","",IF(F26&gt;=16,"Very high",IF(F26&gt;=10,"High",IF(F26&gt;=5,"Medium","Low"))))</f>
        <v>High</v>
      </c>
      <c r="H26" s="14"/>
      <c r="I26" s="14"/>
      <c r="J26" s="13" t="str">
        <f aca="false">IF(H26="","",H26*I26)</f>
        <v/>
      </c>
      <c r="K26" s="13" t="str">
        <f aca="false">IF(J26="","",IF(J26&gt;=16,"Very high",IF(J26&gt;=10,"High",IF(J26&gt;=5,"Medium","Low"))))</f>
        <v/>
      </c>
      <c r="L26" s="14" t="n">
        <v>3</v>
      </c>
      <c r="M26" s="14" t="n">
        <v>3</v>
      </c>
      <c r="N26" s="13" t="n">
        <f aca="false">IF(L26="","",L26*M26)</f>
        <v>9</v>
      </c>
      <c r="O26" s="13" t="str">
        <f aca="false">IF(N26="","",IF(N26&gt;=16,"Very high",IF(N26&gt;=10,"High",IF(N26&gt;=5,"Medium","Low"))))</f>
        <v>Medium</v>
      </c>
      <c r="P26" s="14" t="n">
        <v>2</v>
      </c>
      <c r="Q26" s="14" t="n">
        <v>3</v>
      </c>
      <c r="R26" s="13" t="n">
        <f aca="false">IF(P26="","",P26*Q26)</f>
        <v>6</v>
      </c>
      <c r="S26" s="13" t="str">
        <f aca="false">IF(R26="","",IF(R26&gt;=16,"Very high",IF(R26&gt;=10,"High",IF(R26&gt;=5,"Medium","Low"))))</f>
        <v>Medium</v>
      </c>
      <c r="T26" s="13" t="str">
        <f aca="false">IF(J26="","New",IF(N26&lt;J26,"Down",IF(N26&gt;J26,"Up","Same")))</f>
        <v>New</v>
      </c>
      <c r="U26" s="13" t="s">
        <v>325</v>
      </c>
      <c r="V26" s="13" t="s">
        <v>268</v>
      </c>
    </row>
    <row r="28" customFormat="false" ht="15" hidden="false" customHeight="false" outlineLevel="0" collapsed="false">
      <c r="B28" s="11" t="s">
        <v>330</v>
      </c>
    </row>
    <row r="29" customFormat="false" ht="15" hidden="false" customHeight="false" outlineLevel="0" collapsed="false">
      <c r="A29" s="8"/>
      <c r="B29" s="8" t="s">
        <v>256</v>
      </c>
      <c r="C29" s="8"/>
      <c r="D29" s="8"/>
      <c r="E29" s="8"/>
      <c r="F29" s="8"/>
      <c r="G29" s="8" t="s">
        <v>246</v>
      </c>
      <c r="H29" s="8"/>
      <c r="I29" s="8"/>
      <c r="J29" s="8"/>
      <c r="K29" s="8" t="s">
        <v>62</v>
      </c>
      <c r="L29" s="8"/>
      <c r="M29" s="8"/>
      <c r="N29" s="8"/>
      <c r="O29" s="8" t="s">
        <v>331</v>
      </c>
      <c r="P29" s="8"/>
      <c r="Q29" s="8"/>
      <c r="R29" s="8"/>
      <c r="S29" s="8" t="s">
        <v>249</v>
      </c>
    </row>
    <row r="30" customFormat="false" ht="15" hidden="false" customHeight="false" outlineLevel="0" collapsed="false">
      <c r="B30" s="5" t="s">
        <v>332</v>
      </c>
      <c r="G30" s="5" t="n">
        <f aca="false">COUNTIF(G6:G26,"Very high")</f>
        <v>2</v>
      </c>
      <c r="K30" s="5" t="n">
        <f aca="false">COUNTIF(K6:K26,"Very high")</f>
        <v>2</v>
      </c>
      <c r="O30" s="5" t="n">
        <f aca="false">COUNTIF(O6:O26,"Very high")</f>
        <v>1</v>
      </c>
      <c r="S30" s="5" t="n">
        <f aca="false">COUNTIF(S6:S26,"Very high")</f>
        <v>0</v>
      </c>
    </row>
    <row r="31" customFormat="false" ht="15" hidden="false" customHeight="false" outlineLevel="0" collapsed="false">
      <c r="B31" s="5" t="s">
        <v>64</v>
      </c>
      <c r="G31" s="5" t="n">
        <f aca="false">COUNTIF(G6:G26,"High")</f>
        <v>12</v>
      </c>
      <c r="K31" s="5" t="n">
        <f aca="false">COUNTIF(K6:K26,"High")</f>
        <v>4</v>
      </c>
      <c r="O31" s="5" t="n">
        <f aca="false">COUNTIF(O6:O26,"High")</f>
        <v>3</v>
      </c>
      <c r="S31" s="5" t="n">
        <f aca="false">COUNTIF(S6:S26,"High")</f>
        <v>0</v>
      </c>
    </row>
    <row r="32" customFormat="false" ht="15" hidden="false" customHeight="false" outlineLevel="0" collapsed="false">
      <c r="B32" s="5" t="s">
        <v>65</v>
      </c>
      <c r="G32" s="5" t="n">
        <f aca="false">COUNTIF(G6:G26,"Medium")</f>
        <v>7</v>
      </c>
      <c r="K32" s="5" t="n">
        <f aca="false">COUNTIF(K6:K26,"Medium")</f>
        <v>11</v>
      </c>
      <c r="O32" s="5" t="n">
        <f aca="false">COUNTIF(O6:O26,"Medium")</f>
        <v>13</v>
      </c>
      <c r="S32" s="5" t="n">
        <f aca="false">COUNTIF(S6:S26,"Medium")</f>
        <v>12</v>
      </c>
    </row>
    <row r="33" customFormat="false" ht="15" hidden="false" customHeight="false" outlineLevel="0" collapsed="false">
      <c r="B33" s="5" t="s">
        <v>66</v>
      </c>
      <c r="G33" s="5" t="n">
        <f aca="false">COUNTIF(G6:G26,"Low")</f>
        <v>0</v>
      </c>
      <c r="K33" s="5" t="n">
        <f aca="false">COUNTIF(K6:K26,"Low")</f>
        <v>0</v>
      </c>
      <c r="O33" s="5" t="n">
        <f aca="false">COUNTIF(O6:O26,"Low")</f>
        <v>4</v>
      </c>
      <c r="S33" s="5" t="n">
        <f aca="false">COUNTIF(S6:S26,"Low")</f>
        <v>9</v>
      </c>
    </row>
    <row r="36" customFormat="false" ht="15" hidden="false" customHeight="false" outlineLevel="0" collapsed="false">
      <c r="B36" s="11" t="s">
        <v>333</v>
      </c>
    </row>
    <row r="37" customFormat="false" ht="15" hidden="false" customHeight="false" outlineLevel="0" collapsed="false">
      <c r="B37" s="5" t="s">
        <v>332</v>
      </c>
      <c r="G37" s="5" t="n">
        <f aca="false">COUNTIF(G6:G22,"Very high")</f>
        <v>2</v>
      </c>
      <c r="K37" s="5" t="n">
        <f aca="false">COUNTIF(K6:K22,"Very high")</f>
        <v>2</v>
      </c>
      <c r="O37" s="5" t="n">
        <f aca="false">COUNTIF(O6:O22,"Very high")</f>
        <v>0</v>
      </c>
      <c r="S37" s="5" t="n">
        <f aca="false">COUNTIF(S6:S22,"Very high")</f>
        <v>0</v>
      </c>
    </row>
    <row r="38" customFormat="false" ht="15" hidden="false" customHeight="false" outlineLevel="0" collapsed="false">
      <c r="B38" s="5" t="s">
        <v>64</v>
      </c>
      <c r="G38" s="5" t="n">
        <f aca="false">COUNTIF(G6:G22,"High")</f>
        <v>9</v>
      </c>
      <c r="K38" s="5" t="n">
        <f aca="false">COUNTIF(K6:K22,"High")</f>
        <v>4</v>
      </c>
      <c r="O38" s="5" t="n">
        <f aca="false">COUNTIF(O6:O22,"High")</f>
        <v>3</v>
      </c>
      <c r="S38" s="5" t="n">
        <f aca="false">COUNTIF(S6:S22,"High")</f>
        <v>0</v>
      </c>
    </row>
    <row r="39" customFormat="false" ht="15" hidden="false" customHeight="false" outlineLevel="0" collapsed="false">
      <c r="B39" s="5" t="s">
        <v>65</v>
      </c>
      <c r="G39" s="5" t="n">
        <f aca="false">COUNTIF(G6:G22,"Medium")</f>
        <v>6</v>
      </c>
      <c r="K39" s="5" t="n">
        <f aca="false">COUNTIF(K6:K22,"Medium")</f>
        <v>11</v>
      </c>
      <c r="O39" s="5" t="n">
        <f aca="false">COUNTIF(O6:O22,"Medium")</f>
        <v>10</v>
      </c>
      <c r="S39" s="5" t="n">
        <f aca="false">COUNTIF(S6:S22,"Medium")</f>
        <v>10</v>
      </c>
    </row>
    <row r="40" customFormat="false" ht="15" hidden="false" customHeight="false" outlineLevel="0" collapsed="false">
      <c r="B40" s="5" t="s">
        <v>66</v>
      </c>
      <c r="G40" s="5" t="n">
        <f aca="false">COUNTIF(G6:G22,"Low")</f>
        <v>0</v>
      </c>
      <c r="K40" s="5" t="n">
        <f aca="false">COUNTIF(K6:K22,"Low")</f>
        <v>0</v>
      </c>
      <c r="O40" s="5" t="n">
        <f aca="false">COUNTIF(O6:O22,"Low")</f>
        <v>4</v>
      </c>
      <c r="S40" s="5" t="n">
        <f aca="false">COUNTIF(S6:S22,"Low")</f>
        <v>7</v>
      </c>
    </row>
  </sheetData>
  <conditionalFormatting sqref="G6:G26">
    <cfRule type="cellIs" priority="2" operator="equal" aboveAverage="0" equalAverage="0" bottom="0" percent="0" rank="0" text="" dxfId="3">
      <formula>"Very high"</formula>
    </cfRule>
    <cfRule type="cellIs" priority="3" operator="equal" aboveAverage="0" equalAverage="0" bottom="0" percent="0" rank="0" text="" dxfId="0">
      <formula>"High"</formula>
    </cfRule>
    <cfRule type="cellIs" priority="4" operator="equal" aboveAverage="0" equalAverage="0" bottom="0" percent="0" rank="0" text="" dxfId="1">
      <formula>"Medium"</formula>
    </cfRule>
    <cfRule type="cellIs" priority="5" operator="equal" aboveAverage="0" equalAverage="0" bottom="0" percent="0" rank="0" text="" dxfId="2">
      <formula>"Low"</formula>
    </cfRule>
  </conditionalFormatting>
  <conditionalFormatting sqref="K6:K26">
    <cfRule type="cellIs" priority="6" operator="equal" aboveAverage="0" equalAverage="0" bottom="0" percent="0" rank="0" text="" dxfId="3">
      <formula>"Very high"</formula>
    </cfRule>
    <cfRule type="cellIs" priority="7" operator="equal" aboveAverage="0" equalAverage="0" bottom="0" percent="0" rank="0" text="" dxfId="0">
      <formula>"High"</formula>
    </cfRule>
    <cfRule type="cellIs" priority="8" operator="equal" aboveAverage="0" equalAverage="0" bottom="0" percent="0" rank="0" text="" dxfId="1">
      <formula>"Medium"</formula>
    </cfRule>
    <cfRule type="cellIs" priority="9" operator="equal" aboveAverage="0" equalAverage="0" bottom="0" percent="0" rank="0" text="" dxfId="2">
      <formula>"Low"</formula>
    </cfRule>
  </conditionalFormatting>
  <conditionalFormatting sqref="O6:O26">
    <cfRule type="cellIs" priority="10" operator="equal" aboveAverage="0" equalAverage="0" bottom="0" percent="0" rank="0" text="" dxfId="3">
      <formula>"Very high"</formula>
    </cfRule>
    <cfRule type="cellIs" priority="11" operator="equal" aboveAverage="0" equalAverage="0" bottom="0" percent="0" rank="0" text="" dxfId="0">
      <formula>"High"</formula>
    </cfRule>
    <cfRule type="cellIs" priority="12" operator="equal" aboveAverage="0" equalAverage="0" bottom="0" percent="0" rank="0" text="" dxfId="1">
      <formula>"Medium"</formula>
    </cfRule>
    <cfRule type="cellIs" priority="13" operator="equal" aboveAverage="0" equalAverage="0" bottom="0" percent="0" rank="0" text="" dxfId="2">
      <formula>"Low"</formula>
    </cfRule>
  </conditionalFormatting>
  <conditionalFormatting sqref="S6:S26">
    <cfRule type="cellIs" priority="14" operator="equal" aboveAverage="0" equalAverage="0" bottom="0" percent="0" rank="0" text="" dxfId="3">
      <formula>"Very high"</formula>
    </cfRule>
    <cfRule type="cellIs" priority="15" operator="equal" aboveAverage="0" equalAverage="0" bottom="0" percent="0" rank="0" text="" dxfId="0">
      <formula>"High"</formula>
    </cfRule>
    <cfRule type="cellIs" priority="16" operator="equal" aboveAverage="0" equalAverage="0" bottom="0" percent="0" rank="0" text="" dxfId="1">
      <formula>"Medium"</formula>
    </cfRule>
    <cfRule type="cellIs" priority="17" operator="equal" aboveAverage="0" equalAverage="0" bottom="0" percent="0" rank="0" text="" dxfId="2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8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58"/>
    <col collapsed="false" customWidth="true" hidden="false" outlineLevel="0" max="6" min="6" style="0" width="24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6" t="s">
        <v>334</v>
      </c>
    </row>
    <row r="3" customFormat="false" ht="15" hidden="false" customHeight="false" outlineLevel="0" collapsed="false">
      <c r="A3" s="8" t="s">
        <v>335</v>
      </c>
      <c r="B3" s="8" t="s">
        <v>336</v>
      </c>
      <c r="C3" s="8" t="s">
        <v>337</v>
      </c>
      <c r="D3" s="8" t="s">
        <v>83</v>
      </c>
      <c r="E3" s="8" t="s">
        <v>338</v>
      </c>
      <c r="F3" s="8" t="s">
        <v>259</v>
      </c>
      <c r="G3" s="8" t="s">
        <v>339</v>
      </c>
    </row>
    <row r="4" customFormat="false" ht="15" hidden="false" customHeight="false" outlineLevel="0" collapsed="false">
      <c r="A4" s="12" t="s">
        <v>340</v>
      </c>
      <c r="B4" s="13" t="s">
        <v>341</v>
      </c>
      <c r="C4" s="14" t="s">
        <v>69</v>
      </c>
      <c r="D4" s="13" t="s">
        <v>88</v>
      </c>
      <c r="E4" s="13" t="s">
        <v>90</v>
      </c>
      <c r="F4" s="13" t="s">
        <v>342</v>
      </c>
      <c r="G4" s="13" t="s">
        <v>343</v>
      </c>
    </row>
    <row r="5" customFormat="false" ht="15" hidden="false" customHeight="false" outlineLevel="0" collapsed="false">
      <c r="A5" s="12" t="s">
        <v>344</v>
      </c>
      <c r="B5" s="13" t="s">
        <v>345</v>
      </c>
      <c r="C5" s="14" t="s">
        <v>70</v>
      </c>
      <c r="D5" s="13" t="s">
        <v>93</v>
      </c>
      <c r="E5" s="13" t="s">
        <v>346</v>
      </c>
      <c r="F5" s="13" t="s">
        <v>342</v>
      </c>
      <c r="G5" s="13" t="s">
        <v>343</v>
      </c>
    </row>
    <row r="6" customFormat="false" ht="23.85" hidden="false" customHeight="false" outlineLevel="0" collapsed="false">
      <c r="A6" s="12" t="s">
        <v>347</v>
      </c>
      <c r="B6" s="13" t="s">
        <v>348</v>
      </c>
      <c r="C6" s="14" t="s">
        <v>70</v>
      </c>
      <c r="D6" s="13" t="s">
        <v>98</v>
      </c>
      <c r="E6" s="13" t="s">
        <v>349</v>
      </c>
      <c r="F6" s="13" t="s">
        <v>350</v>
      </c>
      <c r="G6" s="13" t="s">
        <v>343</v>
      </c>
    </row>
    <row r="7" customFormat="false" ht="15" hidden="false" customHeight="false" outlineLevel="0" collapsed="false">
      <c r="A7" s="12" t="s">
        <v>351</v>
      </c>
      <c r="B7" s="13" t="s">
        <v>352</v>
      </c>
      <c r="C7" s="14" t="s">
        <v>73</v>
      </c>
      <c r="D7" s="13" t="s">
        <v>108</v>
      </c>
      <c r="E7" s="13" t="s">
        <v>353</v>
      </c>
      <c r="F7" s="13" t="s">
        <v>290</v>
      </c>
      <c r="G7" s="13" t="s">
        <v>343</v>
      </c>
    </row>
    <row r="8" customFormat="false" ht="15" hidden="false" customHeight="false" outlineLevel="0" collapsed="false">
      <c r="A8" s="12" t="s">
        <v>354</v>
      </c>
      <c r="B8" s="13" t="s">
        <v>355</v>
      </c>
      <c r="C8" s="14" t="s">
        <v>69</v>
      </c>
      <c r="D8" s="13" t="s">
        <v>123</v>
      </c>
      <c r="E8" s="13" t="s">
        <v>125</v>
      </c>
      <c r="F8" s="13" t="s">
        <v>342</v>
      </c>
      <c r="G8" s="13" t="s">
        <v>343</v>
      </c>
    </row>
    <row r="9" customFormat="false" ht="15" hidden="false" customHeight="false" outlineLevel="0" collapsed="false">
      <c r="A9" s="12" t="s">
        <v>356</v>
      </c>
      <c r="B9" s="13" t="s">
        <v>357</v>
      </c>
      <c r="C9" s="14" t="s">
        <v>71</v>
      </c>
      <c r="D9" s="13" t="s">
        <v>142</v>
      </c>
      <c r="E9" s="13" t="s">
        <v>358</v>
      </c>
      <c r="F9" s="13" t="s">
        <v>290</v>
      </c>
      <c r="G9" s="13" t="s">
        <v>343</v>
      </c>
    </row>
    <row r="10" customFormat="false" ht="23.85" hidden="false" customHeight="false" outlineLevel="0" collapsed="false">
      <c r="A10" s="12" t="s">
        <v>359</v>
      </c>
      <c r="B10" s="13" t="s">
        <v>360</v>
      </c>
      <c r="C10" s="14" t="s">
        <v>71</v>
      </c>
      <c r="D10" s="13" t="s">
        <v>142</v>
      </c>
      <c r="E10" s="13" t="s">
        <v>361</v>
      </c>
      <c r="F10" s="13" t="s">
        <v>290</v>
      </c>
      <c r="G10" s="13" t="s">
        <v>343</v>
      </c>
    </row>
    <row r="11" customFormat="false" ht="15" hidden="false" customHeight="false" outlineLevel="0" collapsed="false">
      <c r="A11" s="12" t="s">
        <v>362</v>
      </c>
      <c r="B11" s="13" t="s">
        <v>363</v>
      </c>
      <c r="C11" s="14" t="s">
        <v>72</v>
      </c>
      <c r="D11" s="13" t="s">
        <v>160</v>
      </c>
      <c r="E11" s="13" t="s">
        <v>364</v>
      </c>
      <c r="F11" s="13" t="s">
        <v>290</v>
      </c>
      <c r="G11" s="13" t="s">
        <v>343</v>
      </c>
    </row>
    <row r="12" customFormat="false" ht="15" hidden="false" customHeight="false" outlineLevel="0" collapsed="false">
      <c r="A12" s="12" t="s">
        <v>365</v>
      </c>
      <c r="B12" s="13" t="s">
        <v>366</v>
      </c>
      <c r="C12" s="14" t="s">
        <v>73</v>
      </c>
      <c r="D12" s="13" t="s">
        <v>231</v>
      </c>
      <c r="E12" s="13" t="s">
        <v>367</v>
      </c>
      <c r="F12" s="13" t="s">
        <v>342</v>
      </c>
      <c r="G12" s="13" t="s">
        <v>343</v>
      </c>
    </row>
    <row r="13" customFormat="false" ht="15" hidden="false" customHeight="false" outlineLevel="0" collapsed="false">
      <c r="A13" s="12" t="s">
        <v>368</v>
      </c>
      <c r="B13" s="13" t="s">
        <v>369</v>
      </c>
      <c r="C13" s="14" t="s">
        <v>71</v>
      </c>
      <c r="D13" s="13" t="s">
        <v>236</v>
      </c>
      <c r="E13" s="13" t="s">
        <v>370</v>
      </c>
      <c r="F13" s="13" t="s">
        <v>290</v>
      </c>
      <c r="G13" s="13" t="s">
        <v>343</v>
      </c>
    </row>
    <row r="15" customFormat="false" ht="15" hidden="false" customHeight="false" outlineLevel="0" collapsed="false">
      <c r="A15" s="11" t="s">
        <v>371</v>
      </c>
    </row>
    <row r="16" customFormat="false" ht="15" hidden="false" customHeight="false" outlineLevel="0" collapsed="false">
      <c r="A16" s="8" t="s">
        <v>335</v>
      </c>
      <c r="B16" s="8" t="s">
        <v>372</v>
      </c>
      <c r="C16" s="8" t="s">
        <v>337</v>
      </c>
      <c r="D16" s="8" t="s">
        <v>83</v>
      </c>
      <c r="E16" s="8" t="s">
        <v>373</v>
      </c>
    </row>
    <row r="17" customFormat="false" ht="15" hidden="false" customHeight="false" outlineLevel="0" collapsed="false">
      <c r="A17" s="12" t="s">
        <v>374</v>
      </c>
      <c r="B17" s="13" t="s">
        <v>375</v>
      </c>
      <c r="C17" s="13" t="s">
        <v>376</v>
      </c>
      <c r="D17" s="13" t="s">
        <v>377</v>
      </c>
      <c r="E17" s="13" t="s">
        <v>378</v>
      </c>
    </row>
    <row r="18" customFormat="false" ht="15" hidden="false" customHeight="false" outlineLevel="0" collapsed="false">
      <c r="A18" s="12" t="s">
        <v>379</v>
      </c>
      <c r="B18" s="13" t="s">
        <v>380</v>
      </c>
      <c r="C18" s="13" t="s">
        <v>381</v>
      </c>
      <c r="D18" s="13" t="s">
        <v>113</v>
      </c>
      <c r="E18" s="13" t="s">
        <v>382</v>
      </c>
    </row>
  </sheetData>
  <conditionalFormatting sqref="C4:C13">
    <cfRule type="cellIs" priority="2" operator="equal" aboveAverage="0" equalAverage="0" bottom="0" percent="0" rank="0" text="" dxfId="0">
      <formula>"Not met"</formula>
    </cfRule>
    <cfRule type="cellIs" priority="3" operator="equal" aboveAverage="0" equalAverage="0" bottom="0" percent="0" rank="0" text="" dxfId="1">
      <formula>"Partly met"</formula>
    </cfRule>
    <cfRule type="cellIs" priority="4" operator="equal" aboveAverage="0" equalAverage="0" bottom="0" percent="0" rank="0" text="" dxfId="1">
      <formula>"In progress"</formula>
    </cfRule>
    <cfRule type="cellIs" priority="5" operator="equal" aboveAverage="0" equalAverage="0" bottom="0" percent="0" rank="0" text="" dxfId="4">
      <formula>"Verified with residual"</formula>
    </cfRule>
    <cfRule type="cellIs" priority="6" operator="equal" aboveAverage="0" equalAverage="0" bottom="0" percent="0" rank="0" text="" dxfId="2">
      <formula>"Verified"</formula>
    </cfRule>
  </conditionalFormatting>
  <dataValidations count="1">
    <dataValidation allowBlank="true" errorStyle="stop" operator="between" showDropDown="false" showErrorMessage="false" showInputMessage="false" sqref="C4:C13" type="list">
      <formula1>"Verified,Verified with residual,In progress,Partly met,Not met"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0"/>
    <col collapsed="false" customWidth="true" hidden="false" outlineLevel="0" max="4" min="4" style="0" width="64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6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6" t="s">
        <v>383</v>
      </c>
    </row>
    <row r="3" customFormat="false" ht="15" hidden="false" customHeight="false" outlineLevel="0" collapsed="false">
      <c r="A3" s="8" t="s">
        <v>335</v>
      </c>
      <c r="B3" s="8" t="s">
        <v>77</v>
      </c>
      <c r="C3" s="8" t="s">
        <v>384</v>
      </c>
      <c r="D3" s="8" t="s">
        <v>335</v>
      </c>
      <c r="E3" s="8" t="s">
        <v>259</v>
      </c>
      <c r="F3" s="8" t="s">
        <v>339</v>
      </c>
      <c r="G3" s="8" t="s">
        <v>385</v>
      </c>
      <c r="H3" s="8" t="s">
        <v>386</v>
      </c>
      <c r="I3" s="8" t="s">
        <v>337</v>
      </c>
    </row>
    <row r="4" customFormat="false" ht="23.85" hidden="false" customHeight="false" outlineLevel="0" collapsed="false">
      <c r="A4" s="12" t="s">
        <v>365</v>
      </c>
      <c r="B4" s="13" t="s">
        <v>187</v>
      </c>
      <c r="C4" s="13" t="s">
        <v>64</v>
      </c>
      <c r="D4" s="13" t="s">
        <v>387</v>
      </c>
      <c r="E4" s="13" t="s">
        <v>388</v>
      </c>
      <c r="F4" s="13" t="s">
        <v>343</v>
      </c>
      <c r="G4" s="13" t="s">
        <v>389</v>
      </c>
      <c r="H4" s="13" t="s">
        <v>390</v>
      </c>
      <c r="I4" s="14" t="s">
        <v>59</v>
      </c>
    </row>
    <row r="5" customFormat="false" ht="23.85" hidden="false" customHeight="false" outlineLevel="0" collapsed="false">
      <c r="A5" s="12" t="s">
        <v>391</v>
      </c>
      <c r="B5" s="13" t="s">
        <v>194</v>
      </c>
      <c r="C5" s="13" t="s">
        <v>65</v>
      </c>
      <c r="D5" s="13" t="s">
        <v>392</v>
      </c>
      <c r="E5" s="13" t="s">
        <v>342</v>
      </c>
      <c r="F5" s="13" t="s">
        <v>393</v>
      </c>
      <c r="G5" s="13" t="s">
        <v>394</v>
      </c>
      <c r="H5" s="13" t="s">
        <v>395</v>
      </c>
      <c r="I5" s="14" t="s">
        <v>59</v>
      </c>
    </row>
    <row r="6" customFormat="false" ht="23.85" hidden="false" customHeight="false" outlineLevel="0" collapsed="false">
      <c r="A6" s="12" t="s">
        <v>396</v>
      </c>
      <c r="B6" s="13" t="s">
        <v>199</v>
      </c>
      <c r="C6" s="13" t="s">
        <v>65</v>
      </c>
      <c r="D6" s="13" t="s">
        <v>397</v>
      </c>
      <c r="E6" s="13" t="s">
        <v>342</v>
      </c>
      <c r="F6" s="13" t="s">
        <v>393</v>
      </c>
      <c r="G6" s="13" t="s">
        <v>394</v>
      </c>
      <c r="H6" s="13" t="s">
        <v>398</v>
      </c>
      <c r="I6" s="14" t="s">
        <v>59</v>
      </c>
    </row>
    <row r="7" customFormat="false" ht="15" hidden="false" customHeight="false" outlineLevel="0" collapsed="false">
      <c r="A7" s="12" t="s">
        <v>399</v>
      </c>
      <c r="B7" s="13" t="s">
        <v>204</v>
      </c>
      <c r="C7" s="13" t="s">
        <v>66</v>
      </c>
      <c r="D7" s="13" t="s">
        <v>400</v>
      </c>
      <c r="E7" s="13" t="s">
        <v>342</v>
      </c>
      <c r="F7" s="13" t="s">
        <v>401</v>
      </c>
      <c r="G7" s="13" t="s">
        <v>186</v>
      </c>
      <c r="H7" s="13" t="s">
        <v>402</v>
      </c>
      <c r="I7" s="14" t="s">
        <v>59</v>
      </c>
    </row>
    <row r="8" customFormat="false" ht="23.85" hidden="false" customHeight="false" outlineLevel="0" collapsed="false">
      <c r="A8" s="12" t="s">
        <v>403</v>
      </c>
      <c r="B8" s="13" t="s">
        <v>209</v>
      </c>
      <c r="C8" s="13" t="s">
        <v>65</v>
      </c>
      <c r="D8" s="13" t="s">
        <v>404</v>
      </c>
      <c r="E8" s="13" t="s">
        <v>342</v>
      </c>
      <c r="F8" s="13" t="s">
        <v>393</v>
      </c>
      <c r="G8" s="13" t="s">
        <v>394</v>
      </c>
      <c r="H8" s="13" t="s">
        <v>405</v>
      </c>
      <c r="I8" s="14" t="s">
        <v>59</v>
      </c>
    </row>
    <row r="9" customFormat="false" ht="23.85" hidden="false" customHeight="false" outlineLevel="0" collapsed="false">
      <c r="A9" s="12" t="s">
        <v>406</v>
      </c>
      <c r="B9" s="13" t="s">
        <v>214</v>
      </c>
      <c r="C9" s="13" t="s">
        <v>65</v>
      </c>
      <c r="D9" s="13" t="s">
        <v>407</v>
      </c>
      <c r="E9" s="13" t="s">
        <v>408</v>
      </c>
      <c r="F9" s="13" t="s">
        <v>393</v>
      </c>
      <c r="G9" s="13" t="s">
        <v>394</v>
      </c>
      <c r="H9" s="13" t="s">
        <v>409</v>
      </c>
      <c r="I9" s="14" t="s">
        <v>59</v>
      </c>
    </row>
    <row r="10" customFormat="false" ht="15" hidden="false" customHeight="false" outlineLevel="0" collapsed="false">
      <c r="A10" s="12" t="s">
        <v>410</v>
      </c>
      <c r="B10" s="13" t="s">
        <v>219</v>
      </c>
      <c r="C10" s="13" t="s">
        <v>66</v>
      </c>
      <c r="D10" s="13" t="s">
        <v>411</v>
      </c>
      <c r="E10" s="13" t="s">
        <v>412</v>
      </c>
      <c r="F10" s="13" t="s">
        <v>401</v>
      </c>
      <c r="G10" s="13" t="s">
        <v>186</v>
      </c>
      <c r="H10" s="13" t="s">
        <v>413</v>
      </c>
      <c r="I10" s="14" t="s">
        <v>59</v>
      </c>
    </row>
    <row r="11" customFormat="false" ht="23.85" hidden="false" customHeight="false" outlineLevel="0" collapsed="false">
      <c r="A11" s="12" t="s">
        <v>414</v>
      </c>
      <c r="B11" s="13" t="s">
        <v>224</v>
      </c>
      <c r="C11" s="13" t="s">
        <v>65</v>
      </c>
      <c r="D11" s="13" t="s">
        <v>415</v>
      </c>
      <c r="E11" s="13" t="s">
        <v>342</v>
      </c>
      <c r="F11" s="13" t="s">
        <v>393</v>
      </c>
      <c r="G11" s="13" t="s">
        <v>394</v>
      </c>
      <c r="H11" s="13" t="s">
        <v>416</v>
      </c>
      <c r="I11" s="14" t="s">
        <v>59</v>
      </c>
    </row>
    <row r="12" customFormat="false" ht="15" hidden="false" customHeight="false" outlineLevel="0" collapsed="false">
      <c r="A12" s="12" t="s">
        <v>417</v>
      </c>
      <c r="B12" s="13" t="s">
        <v>229</v>
      </c>
      <c r="C12" s="13" t="s">
        <v>65</v>
      </c>
      <c r="D12" s="13" t="s">
        <v>418</v>
      </c>
      <c r="E12" s="13" t="s">
        <v>342</v>
      </c>
      <c r="F12" s="13" t="s">
        <v>393</v>
      </c>
      <c r="G12" s="13" t="s">
        <v>394</v>
      </c>
      <c r="H12" s="13" t="s">
        <v>419</v>
      </c>
      <c r="I12" s="14" t="s">
        <v>59</v>
      </c>
    </row>
    <row r="13" customFormat="false" ht="15" hidden="false" customHeight="false" outlineLevel="0" collapsed="false">
      <c r="A13" s="12" t="s">
        <v>368</v>
      </c>
      <c r="B13" s="13" t="s">
        <v>234</v>
      </c>
      <c r="C13" s="13" t="s">
        <v>65</v>
      </c>
      <c r="D13" s="13" t="s">
        <v>420</v>
      </c>
      <c r="E13" s="13" t="s">
        <v>290</v>
      </c>
      <c r="F13" s="13" t="s">
        <v>343</v>
      </c>
      <c r="G13" s="13" t="s">
        <v>389</v>
      </c>
      <c r="H13" s="13" t="s">
        <v>421</v>
      </c>
      <c r="I13" s="14" t="s">
        <v>59</v>
      </c>
    </row>
    <row r="14" customFormat="false" ht="15" hidden="false" customHeight="false" outlineLevel="0" collapsed="false">
      <c r="A14" s="12" t="s">
        <v>422</v>
      </c>
      <c r="B14" s="13" t="s">
        <v>239</v>
      </c>
      <c r="C14" s="13" t="s">
        <v>66</v>
      </c>
      <c r="D14" s="13" t="s">
        <v>243</v>
      </c>
      <c r="E14" s="13" t="s">
        <v>342</v>
      </c>
      <c r="F14" s="13" t="s">
        <v>423</v>
      </c>
      <c r="G14" s="13" t="s">
        <v>186</v>
      </c>
      <c r="H14" s="13" t="s">
        <v>424</v>
      </c>
      <c r="I14" s="14" t="s">
        <v>59</v>
      </c>
    </row>
  </sheetData>
  <conditionalFormatting sqref="C4:C14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5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30"/>
    <col collapsed="false" customWidth="true" hidden="false" outlineLevel="0" max="9" min="9" style="0" width="56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44"/>
  </cols>
  <sheetData>
    <row r="1" customFormat="false" ht="17.35" hidden="false" customHeight="false" outlineLevel="0" collapsed="false">
      <c r="A1" s="6" t="s">
        <v>425</v>
      </c>
    </row>
    <row r="3" customFormat="false" ht="15" hidden="false" customHeight="false" outlineLevel="0" collapsed="false">
      <c r="A3" s="8" t="s">
        <v>426</v>
      </c>
      <c r="B3" s="8" t="s">
        <v>427</v>
      </c>
      <c r="C3" s="8" t="s">
        <v>428</v>
      </c>
      <c r="D3" s="8" t="s">
        <v>429</v>
      </c>
      <c r="E3" s="8" t="s">
        <v>430</v>
      </c>
      <c r="F3" s="8" t="s">
        <v>431</v>
      </c>
      <c r="G3" s="8" t="s">
        <v>432</v>
      </c>
      <c r="H3" s="8" t="s">
        <v>433</v>
      </c>
      <c r="I3" s="8" t="s">
        <v>434</v>
      </c>
      <c r="J3" s="8" t="s">
        <v>435</v>
      </c>
      <c r="K3" s="8" t="s">
        <v>436</v>
      </c>
      <c r="L3" s="8" t="s">
        <v>437</v>
      </c>
    </row>
    <row r="4" customFormat="false" ht="35.05" hidden="false" customHeight="false" outlineLevel="0" collapsed="false">
      <c r="A4" s="12" t="s">
        <v>438</v>
      </c>
      <c r="B4" s="12" t="s">
        <v>31</v>
      </c>
      <c r="C4" s="13" t="s">
        <v>439</v>
      </c>
      <c r="D4" s="13" t="s">
        <v>440</v>
      </c>
      <c r="E4" s="13" t="s">
        <v>441</v>
      </c>
      <c r="F4" s="13" t="s">
        <v>96</v>
      </c>
      <c r="G4" s="13" t="s">
        <v>442</v>
      </c>
      <c r="H4" s="13" t="s">
        <v>443</v>
      </c>
      <c r="I4" s="14" t="s">
        <v>444</v>
      </c>
      <c r="J4" s="14" t="s">
        <v>51</v>
      </c>
      <c r="K4" s="14" t="s">
        <v>27</v>
      </c>
      <c r="L4" s="14" t="s">
        <v>445</v>
      </c>
    </row>
    <row r="5" customFormat="false" ht="23.85" hidden="false" customHeight="false" outlineLevel="0" collapsed="false">
      <c r="A5" s="12" t="s">
        <v>446</v>
      </c>
      <c r="B5" s="12" t="s">
        <v>31</v>
      </c>
      <c r="C5" s="13" t="s">
        <v>447</v>
      </c>
      <c r="D5" s="13" t="s">
        <v>440</v>
      </c>
      <c r="E5" s="13" t="s">
        <v>448</v>
      </c>
      <c r="F5" s="13" t="s">
        <v>86</v>
      </c>
      <c r="G5" s="13" t="s">
        <v>442</v>
      </c>
      <c r="H5" s="13" t="s">
        <v>449</v>
      </c>
      <c r="I5" s="14" t="s">
        <v>450</v>
      </c>
      <c r="J5" s="14" t="s">
        <v>51</v>
      </c>
      <c r="K5" s="14" t="s">
        <v>27</v>
      </c>
      <c r="L5" s="14" t="s">
        <v>451</v>
      </c>
    </row>
    <row r="6" customFormat="false" ht="23.85" hidden="false" customHeight="false" outlineLevel="0" collapsed="false">
      <c r="A6" s="12" t="s">
        <v>452</v>
      </c>
      <c r="B6" s="12" t="s">
        <v>31</v>
      </c>
      <c r="C6" s="13" t="s">
        <v>453</v>
      </c>
      <c r="D6" s="13" t="s">
        <v>440</v>
      </c>
      <c r="E6" s="13" t="s">
        <v>441</v>
      </c>
      <c r="F6" s="13" t="s">
        <v>91</v>
      </c>
      <c r="G6" s="13" t="s">
        <v>454</v>
      </c>
      <c r="H6" s="13" t="s">
        <v>455</v>
      </c>
      <c r="I6" s="14" t="s">
        <v>456</v>
      </c>
      <c r="J6" s="14" t="s">
        <v>51</v>
      </c>
      <c r="K6" s="14" t="s">
        <v>27</v>
      </c>
      <c r="L6" s="14" t="s">
        <v>457</v>
      </c>
    </row>
    <row r="7" customFormat="false" ht="35.05" hidden="false" customHeight="false" outlineLevel="0" collapsed="false">
      <c r="A7" s="12" t="s">
        <v>458</v>
      </c>
      <c r="B7" s="12" t="s">
        <v>31</v>
      </c>
      <c r="C7" s="13" t="s">
        <v>459</v>
      </c>
      <c r="D7" s="13" t="s">
        <v>440</v>
      </c>
      <c r="E7" s="13" t="s">
        <v>441</v>
      </c>
      <c r="F7" s="13" t="s">
        <v>91</v>
      </c>
      <c r="G7" s="13" t="s">
        <v>454</v>
      </c>
      <c r="H7" s="13" t="s">
        <v>460</v>
      </c>
      <c r="I7" s="14" t="s">
        <v>461</v>
      </c>
      <c r="J7" s="14" t="s">
        <v>28</v>
      </c>
      <c r="K7" s="14" t="s">
        <v>28</v>
      </c>
      <c r="L7" s="14" t="s">
        <v>462</v>
      </c>
    </row>
    <row r="8" customFormat="false" ht="23.85" hidden="false" customHeight="false" outlineLevel="0" collapsed="false">
      <c r="A8" s="12" t="s">
        <v>463</v>
      </c>
      <c r="B8" s="12" t="s">
        <v>31</v>
      </c>
      <c r="C8" s="13" t="s">
        <v>464</v>
      </c>
      <c r="D8" s="13" t="s">
        <v>465</v>
      </c>
      <c r="E8" s="13" t="s">
        <v>466</v>
      </c>
      <c r="F8" s="13" t="s">
        <v>467</v>
      </c>
      <c r="G8" s="13" t="s">
        <v>442</v>
      </c>
      <c r="H8" s="13" t="s">
        <v>468</v>
      </c>
      <c r="I8" s="14" t="s">
        <v>469</v>
      </c>
      <c r="J8" s="14" t="s">
        <v>28</v>
      </c>
      <c r="K8" s="14" t="s">
        <v>28</v>
      </c>
      <c r="L8" s="14" t="s">
        <v>470</v>
      </c>
    </row>
    <row r="9" customFormat="false" ht="35.05" hidden="false" customHeight="false" outlineLevel="0" collapsed="false">
      <c r="A9" s="12" t="s">
        <v>471</v>
      </c>
      <c r="B9" s="12" t="s">
        <v>32</v>
      </c>
      <c r="C9" s="13" t="s">
        <v>472</v>
      </c>
      <c r="D9" s="13" t="s">
        <v>465</v>
      </c>
      <c r="E9" s="13" t="s">
        <v>473</v>
      </c>
      <c r="F9" s="13" t="s">
        <v>474</v>
      </c>
      <c r="G9" s="13" t="s">
        <v>475</v>
      </c>
      <c r="H9" s="13" t="s">
        <v>476</v>
      </c>
      <c r="I9" s="14" t="s">
        <v>477</v>
      </c>
      <c r="J9" s="14" t="s">
        <v>51</v>
      </c>
      <c r="K9" s="14" t="s">
        <v>27</v>
      </c>
      <c r="L9" s="14" t="s">
        <v>478</v>
      </c>
    </row>
    <row r="10" customFormat="false" ht="23.85" hidden="false" customHeight="false" outlineLevel="0" collapsed="false">
      <c r="A10" s="12" t="s">
        <v>479</v>
      </c>
      <c r="B10" s="12" t="s">
        <v>32</v>
      </c>
      <c r="C10" s="13" t="s">
        <v>480</v>
      </c>
      <c r="D10" s="13" t="s">
        <v>440</v>
      </c>
      <c r="E10" s="13" t="s">
        <v>473</v>
      </c>
      <c r="F10" s="13" t="s">
        <v>481</v>
      </c>
      <c r="G10" s="13" t="s">
        <v>482</v>
      </c>
      <c r="H10" s="13" t="s">
        <v>483</v>
      </c>
      <c r="I10" s="14" t="s">
        <v>484</v>
      </c>
      <c r="J10" s="14" t="s">
        <v>51</v>
      </c>
      <c r="K10" s="14" t="s">
        <v>29</v>
      </c>
      <c r="L10" s="14" t="s">
        <v>485</v>
      </c>
    </row>
    <row r="11" customFormat="false" ht="23.85" hidden="false" customHeight="false" outlineLevel="0" collapsed="false">
      <c r="A11" s="12" t="s">
        <v>486</v>
      </c>
      <c r="B11" s="12" t="s">
        <v>32</v>
      </c>
      <c r="C11" s="13" t="s">
        <v>487</v>
      </c>
      <c r="D11" s="13" t="s">
        <v>465</v>
      </c>
      <c r="E11" s="13" t="s">
        <v>441</v>
      </c>
      <c r="F11" s="13" t="s">
        <v>467</v>
      </c>
      <c r="G11" s="13" t="s">
        <v>488</v>
      </c>
      <c r="H11" s="13" t="s">
        <v>489</v>
      </c>
      <c r="I11" s="14" t="s">
        <v>490</v>
      </c>
      <c r="J11" s="14" t="s">
        <v>51</v>
      </c>
      <c r="K11" s="14" t="s">
        <v>28</v>
      </c>
      <c r="L11" s="14" t="s">
        <v>491</v>
      </c>
    </row>
    <row r="12" customFormat="false" ht="35.05" hidden="false" customHeight="false" outlineLevel="0" collapsed="false">
      <c r="A12" s="12" t="s">
        <v>492</v>
      </c>
      <c r="B12" s="12" t="s">
        <v>32</v>
      </c>
      <c r="C12" s="13" t="s">
        <v>493</v>
      </c>
      <c r="D12" s="13" t="s">
        <v>494</v>
      </c>
      <c r="E12" s="13" t="s">
        <v>448</v>
      </c>
      <c r="F12" s="13" t="s">
        <v>467</v>
      </c>
      <c r="G12" s="13" t="s">
        <v>495</v>
      </c>
      <c r="H12" s="13" t="s">
        <v>496</v>
      </c>
      <c r="I12" s="14" t="s">
        <v>497</v>
      </c>
      <c r="J12" s="14" t="s">
        <v>51</v>
      </c>
      <c r="K12" s="14" t="s">
        <v>28</v>
      </c>
      <c r="L12" s="14" t="s">
        <v>498</v>
      </c>
    </row>
    <row r="13" customFormat="false" ht="23.85" hidden="false" customHeight="false" outlineLevel="0" collapsed="false">
      <c r="A13" s="12" t="s">
        <v>499</v>
      </c>
      <c r="B13" s="12" t="s">
        <v>33</v>
      </c>
      <c r="C13" s="13" t="s">
        <v>500</v>
      </c>
      <c r="D13" s="13" t="s">
        <v>440</v>
      </c>
      <c r="E13" s="13" t="s">
        <v>441</v>
      </c>
      <c r="F13" s="13" t="s">
        <v>209</v>
      </c>
      <c r="G13" s="13" t="s">
        <v>488</v>
      </c>
      <c r="H13" s="13" t="s">
        <v>501</v>
      </c>
      <c r="I13" s="14" t="s">
        <v>502</v>
      </c>
      <c r="J13" s="14" t="s">
        <v>28</v>
      </c>
      <c r="K13" s="14" t="s">
        <v>28</v>
      </c>
      <c r="L13" s="14" t="s">
        <v>503</v>
      </c>
    </row>
    <row r="14" customFormat="false" ht="23.85" hidden="false" customHeight="false" outlineLevel="0" collapsed="false">
      <c r="A14" s="12" t="s">
        <v>504</v>
      </c>
      <c r="B14" s="12" t="s">
        <v>33</v>
      </c>
      <c r="C14" s="13" t="s">
        <v>505</v>
      </c>
      <c r="D14" s="13" t="s">
        <v>440</v>
      </c>
      <c r="E14" s="13" t="s">
        <v>441</v>
      </c>
      <c r="F14" s="13" t="s">
        <v>209</v>
      </c>
      <c r="G14" s="13" t="s">
        <v>488</v>
      </c>
      <c r="H14" s="13" t="s">
        <v>506</v>
      </c>
      <c r="I14" s="14" t="s">
        <v>507</v>
      </c>
      <c r="J14" s="14" t="s">
        <v>28</v>
      </c>
      <c r="K14" s="14" t="s">
        <v>29</v>
      </c>
      <c r="L14" s="14" t="s">
        <v>508</v>
      </c>
    </row>
    <row r="15" customFormat="false" ht="35.05" hidden="false" customHeight="false" outlineLevel="0" collapsed="false">
      <c r="A15" s="12" t="s">
        <v>509</v>
      </c>
      <c r="B15" s="12" t="s">
        <v>33</v>
      </c>
      <c r="C15" s="13" t="s">
        <v>510</v>
      </c>
      <c r="D15" s="13" t="s">
        <v>465</v>
      </c>
      <c r="E15" s="13" t="s">
        <v>448</v>
      </c>
      <c r="F15" s="13" t="s">
        <v>126</v>
      </c>
      <c r="G15" s="13" t="s">
        <v>511</v>
      </c>
      <c r="H15" s="13" t="s">
        <v>512</v>
      </c>
      <c r="I15" s="14" t="s">
        <v>513</v>
      </c>
      <c r="J15" s="14" t="s">
        <v>51</v>
      </c>
      <c r="K15" s="14" t="s">
        <v>27</v>
      </c>
      <c r="L15" s="14" t="s">
        <v>514</v>
      </c>
    </row>
    <row r="16" customFormat="false" ht="23.85" hidden="false" customHeight="false" outlineLevel="0" collapsed="false">
      <c r="A16" s="12" t="s">
        <v>515</v>
      </c>
      <c r="B16" s="12" t="s">
        <v>34</v>
      </c>
      <c r="C16" s="13" t="s">
        <v>516</v>
      </c>
      <c r="D16" s="13" t="s">
        <v>440</v>
      </c>
      <c r="E16" s="13" t="s">
        <v>448</v>
      </c>
      <c r="F16" s="13" t="s">
        <v>467</v>
      </c>
      <c r="G16" s="13" t="s">
        <v>517</v>
      </c>
      <c r="H16" s="13" t="s">
        <v>518</v>
      </c>
      <c r="I16" s="14" t="s">
        <v>519</v>
      </c>
      <c r="J16" s="14" t="s">
        <v>51</v>
      </c>
      <c r="K16" s="14" t="s">
        <v>27</v>
      </c>
      <c r="L16" s="14" t="s">
        <v>520</v>
      </c>
    </row>
    <row r="17" customFormat="false" ht="23.85" hidden="false" customHeight="false" outlineLevel="0" collapsed="false">
      <c r="A17" s="12" t="s">
        <v>521</v>
      </c>
      <c r="B17" s="12" t="s">
        <v>34</v>
      </c>
      <c r="C17" s="13" t="s">
        <v>522</v>
      </c>
      <c r="D17" s="13" t="s">
        <v>440</v>
      </c>
      <c r="E17" s="13" t="s">
        <v>441</v>
      </c>
      <c r="F17" s="13" t="s">
        <v>467</v>
      </c>
      <c r="G17" s="13" t="s">
        <v>517</v>
      </c>
      <c r="H17" s="13" t="s">
        <v>523</v>
      </c>
      <c r="I17" s="14" t="s">
        <v>524</v>
      </c>
      <c r="J17" s="14" t="s">
        <v>51</v>
      </c>
      <c r="K17" s="14" t="s">
        <v>28</v>
      </c>
      <c r="L17" s="14" t="s">
        <v>525</v>
      </c>
    </row>
    <row r="18" customFormat="false" ht="23.85" hidden="false" customHeight="false" outlineLevel="0" collapsed="false">
      <c r="A18" s="12" t="s">
        <v>526</v>
      </c>
      <c r="B18" s="12" t="s">
        <v>34</v>
      </c>
      <c r="C18" s="13" t="s">
        <v>527</v>
      </c>
      <c r="D18" s="13" t="s">
        <v>465</v>
      </c>
      <c r="E18" s="13" t="s">
        <v>441</v>
      </c>
      <c r="F18" s="13" t="s">
        <v>467</v>
      </c>
      <c r="G18" s="13" t="s">
        <v>517</v>
      </c>
      <c r="H18" s="13" t="s">
        <v>528</v>
      </c>
      <c r="I18" s="14" t="s">
        <v>529</v>
      </c>
      <c r="J18" s="14" t="s">
        <v>51</v>
      </c>
      <c r="K18" s="14" t="s">
        <v>28</v>
      </c>
      <c r="L18" s="14" t="s">
        <v>530</v>
      </c>
    </row>
    <row r="19" customFormat="false" ht="35.05" hidden="false" customHeight="false" outlineLevel="0" collapsed="false">
      <c r="A19" s="12" t="s">
        <v>531</v>
      </c>
      <c r="B19" s="12" t="s">
        <v>34</v>
      </c>
      <c r="C19" s="13" t="s">
        <v>532</v>
      </c>
      <c r="D19" s="13" t="s">
        <v>440</v>
      </c>
      <c r="E19" s="13" t="s">
        <v>466</v>
      </c>
      <c r="F19" s="13" t="s">
        <v>467</v>
      </c>
      <c r="G19" s="13" t="s">
        <v>517</v>
      </c>
      <c r="H19" s="13" t="s">
        <v>533</v>
      </c>
      <c r="I19" s="14" t="s">
        <v>534</v>
      </c>
      <c r="J19" s="14" t="s">
        <v>51</v>
      </c>
      <c r="K19" s="14" t="s">
        <v>28</v>
      </c>
      <c r="L19" s="14" t="s">
        <v>535</v>
      </c>
    </row>
    <row r="20" customFormat="false" ht="23.85" hidden="false" customHeight="false" outlineLevel="0" collapsed="false">
      <c r="A20" s="12" t="s">
        <v>536</v>
      </c>
      <c r="B20" s="12" t="s">
        <v>34</v>
      </c>
      <c r="C20" s="13" t="s">
        <v>537</v>
      </c>
      <c r="D20" s="13" t="s">
        <v>440</v>
      </c>
      <c r="E20" s="13" t="s">
        <v>441</v>
      </c>
      <c r="F20" s="13" t="s">
        <v>538</v>
      </c>
      <c r="G20" s="13" t="s">
        <v>517</v>
      </c>
      <c r="H20" s="13" t="s">
        <v>539</v>
      </c>
      <c r="I20" s="14" t="s">
        <v>540</v>
      </c>
      <c r="J20" s="14" t="s">
        <v>51</v>
      </c>
      <c r="K20" s="14" t="s">
        <v>27</v>
      </c>
      <c r="L20" s="14" t="s">
        <v>541</v>
      </c>
    </row>
    <row r="21" customFormat="false" ht="23.85" hidden="false" customHeight="false" outlineLevel="0" collapsed="false">
      <c r="A21" s="12" t="s">
        <v>542</v>
      </c>
      <c r="B21" s="12" t="s">
        <v>34</v>
      </c>
      <c r="C21" s="13" t="s">
        <v>543</v>
      </c>
      <c r="D21" s="13" t="s">
        <v>494</v>
      </c>
      <c r="E21" s="13" t="s">
        <v>466</v>
      </c>
      <c r="F21" s="13" t="s">
        <v>467</v>
      </c>
      <c r="G21" s="13" t="s">
        <v>517</v>
      </c>
      <c r="H21" s="13" t="s">
        <v>544</v>
      </c>
      <c r="I21" s="14" t="s">
        <v>545</v>
      </c>
      <c r="J21" s="14" t="s">
        <v>52</v>
      </c>
      <c r="K21" s="14" t="s">
        <v>28</v>
      </c>
      <c r="L21" s="14" t="s">
        <v>546</v>
      </c>
    </row>
    <row r="22" customFormat="false" ht="23.85" hidden="false" customHeight="false" outlineLevel="0" collapsed="false">
      <c r="A22" s="12" t="s">
        <v>547</v>
      </c>
      <c r="B22" s="12" t="s">
        <v>34</v>
      </c>
      <c r="C22" s="13" t="s">
        <v>548</v>
      </c>
      <c r="D22" s="13" t="s">
        <v>465</v>
      </c>
      <c r="E22" s="13" t="s">
        <v>441</v>
      </c>
      <c r="F22" s="13" t="s">
        <v>467</v>
      </c>
      <c r="G22" s="13" t="s">
        <v>517</v>
      </c>
      <c r="H22" s="13" t="s">
        <v>549</v>
      </c>
      <c r="I22" s="14" t="s">
        <v>550</v>
      </c>
      <c r="J22" s="14" t="s">
        <v>51</v>
      </c>
      <c r="K22" s="14" t="s">
        <v>28</v>
      </c>
      <c r="L22" s="14" t="s">
        <v>520</v>
      </c>
    </row>
    <row r="23" customFormat="false" ht="23.85" hidden="false" customHeight="false" outlineLevel="0" collapsed="false">
      <c r="A23" s="12" t="s">
        <v>551</v>
      </c>
      <c r="B23" s="12" t="s">
        <v>35</v>
      </c>
      <c r="C23" s="13" t="s">
        <v>552</v>
      </c>
      <c r="D23" s="13" t="s">
        <v>465</v>
      </c>
      <c r="E23" s="13" t="s">
        <v>448</v>
      </c>
      <c r="F23" s="13" t="s">
        <v>467</v>
      </c>
      <c r="G23" s="13" t="s">
        <v>553</v>
      </c>
      <c r="H23" s="13" t="s">
        <v>554</v>
      </c>
      <c r="I23" s="14" t="s">
        <v>555</v>
      </c>
      <c r="J23" s="14" t="s">
        <v>51</v>
      </c>
      <c r="K23" s="14" t="s">
        <v>27</v>
      </c>
      <c r="L23" s="14" t="s">
        <v>556</v>
      </c>
    </row>
    <row r="24" customFormat="false" ht="23.85" hidden="false" customHeight="false" outlineLevel="0" collapsed="false">
      <c r="A24" s="12" t="s">
        <v>557</v>
      </c>
      <c r="B24" s="12" t="s">
        <v>35</v>
      </c>
      <c r="C24" s="13" t="s">
        <v>558</v>
      </c>
      <c r="D24" s="13" t="s">
        <v>465</v>
      </c>
      <c r="E24" s="13" t="s">
        <v>441</v>
      </c>
      <c r="F24" s="13" t="s">
        <v>467</v>
      </c>
      <c r="G24" s="13" t="s">
        <v>553</v>
      </c>
      <c r="H24" s="13" t="s">
        <v>559</v>
      </c>
      <c r="I24" s="14" t="s">
        <v>560</v>
      </c>
      <c r="J24" s="14" t="s">
        <v>51</v>
      </c>
      <c r="K24" s="14" t="s">
        <v>27</v>
      </c>
      <c r="L24" s="14" t="s">
        <v>556</v>
      </c>
    </row>
    <row r="25" customFormat="false" ht="23.85" hidden="false" customHeight="false" outlineLevel="0" collapsed="false">
      <c r="A25" s="12" t="s">
        <v>561</v>
      </c>
      <c r="B25" s="12" t="s">
        <v>35</v>
      </c>
      <c r="C25" s="13" t="s">
        <v>562</v>
      </c>
      <c r="D25" s="13" t="s">
        <v>440</v>
      </c>
      <c r="E25" s="13" t="s">
        <v>448</v>
      </c>
      <c r="F25" s="13" t="s">
        <v>481</v>
      </c>
      <c r="G25" s="13" t="s">
        <v>563</v>
      </c>
      <c r="H25" s="13" t="s">
        <v>564</v>
      </c>
      <c r="I25" s="14" t="s">
        <v>565</v>
      </c>
      <c r="J25" s="14" t="s">
        <v>51</v>
      </c>
      <c r="K25" s="14" t="s">
        <v>29</v>
      </c>
      <c r="L25" s="14" t="s">
        <v>566</v>
      </c>
    </row>
    <row r="26" customFormat="false" ht="23.85" hidden="false" customHeight="false" outlineLevel="0" collapsed="false">
      <c r="A26" s="12" t="s">
        <v>567</v>
      </c>
      <c r="B26" s="12" t="s">
        <v>35</v>
      </c>
      <c r="C26" s="13" t="s">
        <v>568</v>
      </c>
      <c r="D26" s="13" t="s">
        <v>440</v>
      </c>
      <c r="E26" s="13" t="s">
        <v>441</v>
      </c>
      <c r="F26" s="13" t="s">
        <v>569</v>
      </c>
      <c r="G26" s="13" t="s">
        <v>553</v>
      </c>
      <c r="H26" s="13" t="s">
        <v>570</v>
      </c>
      <c r="I26" s="14" t="s">
        <v>571</v>
      </c>
      <c r="J26" s="14" t="s">
        <v>51</v>
      </c>
      <c r="K26" s="14" t="s">
        <v>27</v>
      </c>
      <c r="L26" s="14" t="s">
        <v>556</v>
      </c>
    </row>
    <row r="27" customFormat="false" ht="23.85" hidden="false" customHeight="false" outlineLevel="0" collapsed="false">
      <c r="A27" s="12" t="s">
        <v>572</v>
      </c>
      <c r="B27" s="12" t="s">
        <v>36</v>
      </c>
      <c r="C27" s="13" t="s">
        <v>573</v>
      </c>
      <c r="D27" s="13" t="s">
        <v>440</v>
      </c>
      <c r="E27" s="13" t="s">
        <v>441</v>
      </c>
      <c r="F27" s="13" t="s">
        <v>467</v>
      </c>
      <c r="G27" s="13" t="s">
        <v>553</v>
      </c>
      <c r="H27" s="13" t="s">
        <v>574</v>
      </c>
      <c r="I27" s="14" t="s">
        <v>575</v>
      </c>
      <c r="J27" s="14" t="s">
        <v>51</v>
      </c>
      <c r="K27" s="14" t="s">
        <v>27</v>
      </c>
      <c r="L27" s="14" t="s">
        <v>576</v>
      </c>
    </row>
    <row r="28" customFormat="false" ht="23.85" hidden="false" customHeight="false" outlineLevel="0" collapsed="false">
      <c r="A28" s="12" t="s">
        <v>577</v>
      </c>
      <c r="B28" s="12" t="s">
        <v>36</v>
      </c>
      <c r="C28" s="13" t="s">
        <v>578</v>
      </c>
      <c r="D28" s="13" t="s">
        <v>440</v>
      </c>
      <c r="E28" s="13" t="s">
        <v>441</v>
      </c>
      <c r="F28" s="13" t="s">
        <v>467</v>
      </c>
      <c r="G28" s="13" t="s">
        <v>553</v>
      </c>
      <c r="H28" s="13" t="s">
        <v>579</v>
      </c>
      <c r="I28" s="14" t="s">
        <v>580</v>
      </c>
      <c r="J28" s="14" t="s">
        <v>51</v>
      </c>
      <c r="K28" s="14" t="s">
        <v>27</v>
      </c>
      <c r="L28" s="14" t="s">
        <v>581</v>
      </c>
    </row>
    <row r="29" customFormat="false" ht="23.85" hidden="false" customHeight="false" outlineLevel="0" collapsed="false">
      <c r="A29" s="12" t="s">
        <v>582</v>
      </c>
      <c r="B29" s="12" t="s">
        <v>36</v>
      </c>
      <c r="C29" s="13" t="s">
        <v>583</v>
      </c>
      <c r="D29" s="13" t="s">
        <v>465</v>
      </c>
      <c r="E29" s="13" t="s">
        <v>441</v>
      </c>
      <c r="F29" s="13" t="s">
        <v>126</v>
      </c>
      <c r="G29" s="13" t="s">
        <v>553</v>
      </c>
      <c r="H29" s="13" t="s">
        <v>584</v>
      </c>
      <c r="I29" s="14" t="s">
        <v>585</v>
      </c>
      <c r="J29" s="14" t="s">
        <v>51</v>
      </c>
      <c r="K29" s="14" t="s">
        <v>27</v>
      </c>
      <c r="L29" s="14" t="s">
        <v>576</v>
      </c>
    </row>
    <row r="30" customFormat="false" ht="35.05" hidden="false" customHeight="false" outlineLevel="0" collapsed="false">
      <c r="A30" s="12" t="s">
        <v>586</v>
      </c>
      <c r="B30" s="12" t="s">
        <v>37</v>
      </c>
      <c r="C30" s="13" t="s">
        <v>587</v>
      </c>
      <c r="D30" s="13" t="s">
        <v>440</v>
      </c>
      <c r="E30" s="13" t="s">
        <v>448</v>
      </c>
      <c r="F30" s="13" t="s">
        <v>140</v>
      </c>
      <c r="G30" s="13" t="s">
        <v>588</v>
      </c>
      <c r="H30" s="13" t="s">
        <v>589</v>
      </c>
      <c r="I30" s="14" t="s">
        <v>590</v>
      </c>
      <c r="J30" s="14" t="s">
        <v>51</v>
      </c>
      <c r="K30" s="14" t="s">
        <v>28</v>
      </c>
      <c r="L30" s="14" t="s">
        <v>591</v>
      </c>
    </row>
    <row r="31" customFormat="false" ht="35.05" hidden="false" customHeight="false" outlineLevel="0" collapsed="false">
      <c r="A31" s="12" t="s">
        <v>592</v>
      </c>
      <c r="B31" s="12" t="s">
        <v>37</v>
      </c>
      <c r="C31" s="13" t="s">
        <v>593</v>
      </c>
      <c r="D31" s="13" t="s">
        <v>440</v>
      </c>
      <c r="E31" s="13" t="s">
        <v>473</v>
      </c>
      <c r="F31" s="13" t="s">
        <v>594</v>
      </c>
      <c r="G31" s="13" t="s">
        <v>588</v>
      </c>
      <c r="H31" s="13" t="s">
        <v>595</v>
      </c>
      <c r="I31" s="14" t="s">
        <v>596</v>
      </c>
      <c r="J31" s="14" t="s">
        <v>51</v>
      </c>
      <c r="K31" s="14" t="s">
        <v>28</v>
      </c>
      <c r="L31" s="14" t="s">
        <v>597</v>
      </c>
    </row>
    <row r="32" customFormat="false" ht="23.85" hidden="false" customHeight="false" outlineLevel="0" collapsed="false">
      <c r="A32" s="12" t="s">
        <v>598</v>
      </c>
      <c r="B32" s="12" t="s">
        <v>37</v>
      </c>
      <c r="C32" s="13" t="s">
        <v>599</v>
      </c>
      <c r="D32" s="13" t="s">
        <v>465</v>
      </c>
      <c r="E32" s="13" t="s">
        <v>466</v>
      </c>
      <c r="F32" s="13" t="s">
        <v>467</v>
      </c>
      <c r="G32" s="13" t="s">
        <v>588</v>
      </c>
      <c r="H32" s="13" t="s">
        <v>600</v>
      </c>
      <c r="I32" s="14" t="s">
        <v>601</v>
      </c>
      <c r="J32" s="14" t="s">
        <v>28</v>
      </c>
      <c r="K32" s="14" t="s">
        <v>28</v>
      </c>
      <c r="L32" s="14" t="s">
        <v>602</v>
      </c>
    </row>
    <row r="33" customFormat="false" ht="23.85" hidden="false" customHeight="false" outlineLevel="0" collapsed="false">
      <c r="A33" s="12" t="s">
        <v>603</v>
      </c>
      <c r="B33" s="12" t="s">
        <v>37</v>
      </c>
      <c r="C33" s="13" t="s">
        <v>604</v>
      </c>
      <c r="D33" s="13" t="s">
        <v>494</v>
      </c>
      <c r="E33" s="13" t="s">
        <v>466</v>
      </c>
      <c r="F33" s="13" t="s">
        <v>467</v>
      </c>
      <c r="G33" s="13" t="s">
        <v>588</v>
      </c>
      <c r="H33" s="13" t="s">
        <v>605</v>
      </c>
      <c r="I33" s="14" t="s">
        <v>606</v>
      </c>
      <c r="J33" s="14" t="s">
        <v>53</v>
      </c>
      <c r="K33" s="14" t="s">
        <v>30</v>
      </c>
      <c r="L33" s="14" t="s">
        <v>607</v>
      </c>
    </row>
    <row r="34" customFormat="false" ht="23.85" hidden="false" customHeight="false" outlineLevel="0" collapsed="false">
      <c r="A34" s="12" t="s">
        <v>608</v>
      </c>
      <c r="B34" s="12" t="s">
        <v>38</v>
      </c>
      <c r="C34" s="13" t="s">
        <v>609</v>
      </c>
      <c r="D34" s="13" t="s">
        <v>440</v>
      </c>
      <c r="E34" s="13" t="s">
        <v>466</v>
      </c>
      <c r="F34" s="13" t="s">
        <v>101</v>
      </c>
      <c r="G34" s="13" t="s">
        <v>610</v>
      </c>
      <c r="H34" s="13" t="s">
        <v>611</v>
      </c>
      <c r="I34" s="14" t="s">
        <v>612</v>
      </c>
      <c r="J34" s="14" t="s">
        <v>28</v>
      </c>
      <c r="K34" s="14" t="s">
        <v>28</v>
      </c>
      <c r="L34" s="14" t="s">
        <v>613</v>
      </c>
    </row>
    <row r="35" customFormat="false" ht="23.85" hidden="false" customHeight="false" outlineLevel="0" collapsed="false">
      <c r="A35" s="12" t="s">
        <v>614</v>
      </c>
      <c r="B35" s="12" t="s">
        <v>38</v>
      </c>
      <c r="C35" s="13" t="s">
        <v>615</v>
      </c>
      <c r="D35" s="13" t="s">
        <v>440</v>
      </c>
      <c r="E35" s="13" t="s">
        <v>448</v>
      </c>
      <c r="F35" s="13" t="s">
        <v>101</v>
      </c>
      <c r="G35" s="13" t="s">
        <v>610</v>
      </c>
      <c r="H35" s="13" t="s">
        <v>616</v>
      </c>
      <c r="I35" s="14" t="s">
        <v>617</v>
      </c>
      <c r="J35" s="14" t="s">
        <v>51</v>
      </c>
      <c r="K35" s="14" t="s">
        <v>27</v>
      </c>
      <c r="L35" s="14" t="s">
        <v>618</v>
      </c>
    </row>
    <row r="36" customFormat="false" ht="23.85" hidden="false" customHeight="false" outlineLevel="0" collapsed="false">
      <c r="A36" s="12" t="s">
        <v>619</v>
      </c>
      <c r="B36" s="12" t="s">
        <v>38</v>
      </c>
      <c r="C36" s="13" t="s">
        <v>620</v>
      </c>
      <c r="D36" s="13" t="s">
        <v>440</v>
      </c>
      <c r="E36" s="13" t="s">
        <v>473</v>
      </c>
      <c r="F36" s="13" t="s">
        <v>101</v>
      </c>
      <c r="G36" s="13" t="s">
        <v>610</v>
      </c>
      <c r="H36" s="13" t="s">
        <v>621</v>
      </c>
      <c r="I36" s="14" t="s">
        <v>622</v>
      </c>
      <c r="J36" s="14" t="s">
        <v>51</v>
      </c>
      <c r="K36" s="14" t="s">
        <v>29</v>
      </c>
      <c r="L36" s="14" t="s">
        <v>623</v>
      </c>
    </row>
    <row r="37" customFormat="false" ht="23.85" hidden="false" customHeight="false" outlineLevel="0" collapsed="false">
      <c r="A37" s="12" t="s">
        <v>624</v>
      </c>
      <c r="B37" s="12" t="s">
        <v>38</v>
      </c>
      <c r="C37" s="13" t="s">
        <v>625</v>
      </c>
      <c r="D37" s="13" t="s">
        <v>465</v>
      </c>
      <c r="E37" s="13" t="s">
        <v>626</v>
      </c>
      <c r="F37" s="13" t="s">
        <v>467</v>
      </c>
      <c r="G37" s="13" t="s">
        <v>610</v>
      </c>
      <c r="H37" s="13" t="s">
        <v>627</v>
      </c>
      <c r="I37" s="14" t="s">
        <v>628</v>
      </c>
      <c r="J37" s="14" t="s">
        <v>51</v>
      </c>
      <c r="K37" s="14" t="s">
        <v>28</v>
      </c>
      <c r="L37" s="14" t="s">
        <v>629</v>
      </c>
    </row>
    <row r="38" customFormat="false" ht="23.85" hidden="false" customHeight="false" outlineLevel="0" collapsed="false">
      <c r="A38" s="12" t="s">
        <v>630</v>
      </c>
      <c r="B38" s="12" t="s">
        <v>39</v>
      </c>
      <c r="C38" s="13" t="s">
        <v>631</v>
      </c>
      <c r="D38" s="13" t="s">
        <v>440</v>
      </c>
      <c r="E38" s="13" t="s">
        <v>441</v>
      </c>
      <c r="F38" s="13" t="s">
        <v>632</v>
      </c>
      <c r="G38" s="13" t="s">
        <v>633</v>
      </c>
      <c r="H38" s="13" t="s">
        <v>634</v>
      </c>
      <c r="I38" s="14" t="s">
        <v>635</v>
      </c>
      <c r="J38" s="14" t="s">
        <v>51</v>
      </c>
      <c r="K38" s="14" t="s">
        <v>28</v>
      </c>
      <c r="L38" s="14" t="s">
        <v>636</v>
      </c>
    </row>
    <row r="39" customFormat="false" ht="23.85" hidden="false" customHeight="false" outlineLevel="0" collapsed="false">
      <c r="A39" s="12" t="s">
        <v>637</v>
      </c>
      <c r="B39" s="12" t="s">
        <v>39</v>
      </c>
      <c r="C39" s="13" t="s">
        <v>638</v>
      </c>
      <c r="D39" s="13" t="s">
        <v>440</v>
      </c>
      <c r="E39" s="13" t="s">
        <v>466</v>
      </c>
      <c r="F39" s="13" t="s">
        <v>639</v>
      </c>
      <c r="G39" s="13" t="s">
        <v>633</v>
      </c>
      <c r="H39" s="13" t="s">
        <v>640</v>
      </c>
      <c r="I39" s="14" t="s">
        <v>641</v>
      </c>
      <c r="J39" s="14" t="s">
        <v>51</v>
      </c>
      <c r="K39" s="14" t="s">
        <v>27</v>
      </c>
      <c r="L39" s="14" t="s">
        <v>642</v>
      </c>
    </row>
    <row r="40" customFormat="false" ht="23.85" hidden="false" customHeight="false" outlineLevel="0" collapsed="false">
      <c r="A40" s="12" t="s">
        <v>643</v>
      </c>
      <c r="B40" s="12" t="s">
        <v>39</v>
      </c>
      <c r="C40" s="13" t="s">
        <v>644</v>
      </c>
      <c r="D40" s="13" t="s">
        <v>494</v>
      </c>
      <c r="E40" s="13" t="s">
        <v>448</v>
      </c>
      <c r="F40" s="13" t="s">
        <v>467</v>
      </c>
      <c r="G40" s="13" t="s">
        <v>633</v>
      </c>
      <c r="H40" s="13" t="s">
        <v>645</v>
      </c>
      <c r="I40" s="14" t="s">
        <v>646</v>
      </c>
      <c r="J40" s="14" t="s">
        <v>51</v>
      </c>
      <c r="K40" s="14" t="s">
        <v>29</v>
      </c>
      <c r="L40" s="14" t="s">
        <v>647</v>
      </c>
    </row>
    <row r="41" customFormat="false" ht="35.05" hidden="false" customHeight="false" outlineLevel="0" collapsed="false">
      <c r="A41" s="12" t="s">
        <v>648</v>
      </c>
      <c r="B41" s="12" t="s">
        <v>40</v>
      </c>
      <c r="C41" s="13" t="s">
        <v>649</v>
      </c>
      <c r="D41" s="13" t="s">
        <v>440</v>
      </c>
      <c r="E41" s="13" t="s">
        <v>441</v>
      </c>
      <c r="F41" s="13" t="s">
        <v>467</v>
      </c>
      <c r="G41" s="13" t="s">
        <v>650</v>
      </c>
      <c r="H41" s="13" t="s">
        <v>651</v>
      </c>
      <c r="I41" s="14" t="s">
        <v>652</v>
      </c>
      <c r="J41" s="14" t="s">
        <v>51</v>
      </c>
      <c r="K41" s="14" t="s">
        <v>27</v>
      </c>
      <c r="L41" s="14" t="s">
        <v>478</v>
      </c>
    </row>
    <row r="42" customFormat="false" ht="15" hidden="false" customHeight="false" outlineLevel="0" collapsed="false">
      <c r="A42" s="12" t="s">
        <v>653</v>
      </c>
      <c r="B42" s="12" t="s">
        <v>40</v>
      </c>
      <c r="C42" s="13" t="s">
        <v>654</v>
      </c>
      <c r="D42" s="13" t="s">
        <v>465</v>
      </c>
      <c r="E42" s="13" t="s">
        <v>441</v>
      </c>
      <c r="F42" s="13" t="s">
        <v>145</v>
      </c>
      <c r="G42" s="13" t="s">
        <v>650</v>
      </c>
      <c r="H42" s="13" t="s">
        <v>655</v>
      </c>
      <c r="I42" s="14" t="s">
        <v>656</v>
      </c>
      <c r="J42" s="14" t="s">
        <v>51</v>
      </c>
      <c r="K42" s="14" t="s">
        <v>27</v>
      </c>
      <c r="L42" s="14" t="s">
        <v>657</v>
      </c>
    </row>
    <row r="43" customFormat="false" ht="23.85" hidden="false" customHeight="false" outlineLevel="0" collapsed="false">
      <c r="A43" s="12" t="s">
        <v>658</v>
      </c>
      <c r="B43" s="12" t="s">
        <v>40</v>
      </c>
      <c r="C43" s="13" t="s">
        <v>659</v>
      </c>
      <c r="D43" s="13" t="s">
        <v>465</v>
      </c>
      <c r="E43" s="13" t="s">
        <v>441</v>
      </c>
      <c r="F43" s="13" t="s">
        <v>96</v>
      </c>
      <c r="G43" s="13" t="s">
        <v>650</v>
      </c>
      <c r="H43" s="13" t="s">
        <v>660</v>
      </c>
      <c r="I43" s="14" t="s">
        <v>661</v>
      </c>
      <c r="J43" s="14" t="s">
        <v>28</v>
      </c>
      <c r="K43" s="14" t="s">
        <v>28</v>
      </c>
      <c r="L43" s="14" t="s">
        <v>662</v>
      </c>
    </row>
    <row r="44" customFormat="false" ht="23.85" hidden="false" customHeight="false" outlineLevel="0" collapsed="false">
      <c r="A44" s="12" t="s">
        <v>663</v>
      </c>
      <c r="B44" s="12" t="s">
        <v>41</v>
      </c>
      <c r="C44" s="13" t="s">
        <v>664</v>
      </c>
      <c r="D44" s="13" t="s">
        <v>440</v>
      </c>
      <c r="E44" s="13" t="s">
        <v>448</v>
      </c>
      <c r="F44" s="13" t="s">
        <v>467</v>
      </c>
      <c r="G44" s="13" t="s">
        <v>665</v>
      </c>
      <c r="H44" s="13" t="s">
        <v>666</v>
      </c>
      <c r="I44" s="14" t="s">
        <v>667</v>
      </c>
      <c r="J44" s="14" t="s">
        <v>51</v>
      </c>
      <c r="K44" s="14" t="s">
        <v>28</v>
      </c>
      <c r="L44" s="14" t="s">
        <v>668</v>
      </c>
    </row>
    <row r="45" customFormat="false" ht="23.85" hidden="false" customHeight="false" outlineLevel="0" collapsed="false">
      <c r="A45" s="12" t="s">
        <v>669</v>
      </c>
      <c r="B45" s="12" t="s">
        <v>41</v>
      </c>
      <c r="C45" s="13" t="s">
        <v>670</v>
      </c>
      <c r="D45" s="13" t="s">
        <v>440</v>
      </c>
      <c r="E45" s="13" t="s">
        <v>466</v>
      </c>
      <c r="F45" s="13" t="s">
        <v>467</v>
      </c>
      <c r="G45" s="13" t="s">
        <v>665</v>
      </c>
      <c r="H45" s="13" t="s">
        <v>671</v>
      </c>
      <c r="I45" s="14" t="s">
        <v>672</v>
      </c>
      <c r="J45" s="14" t="s">
        <v>51</v>
      </c>
      <c r="K45" s="14" t="s">
        <v>28</v>
      </c>
      <c r="L45" s="14" t="s">
        <v>673</v>
      </c>
    </row>
    <row r="46" customFormat="false" ht="23.85" hidden="false" customHeight="false" outlineLevel="0" collapsed="false">
      <c r="A46" s="12" t="s">
        <v>674</v>
      </c>
      <c r="B46" s="12" t="s">
        <v>41</v>
      </c>
      <c r="C46" s="13" t="s">
        <v>675</v>
      </c>
      <c r="D46" s="13" t="s">
        <v>440</v>
      </c>
      <c r="E46" s="13" t="s">
        <v>626</v>
      </c>
      <c r="F46" s="13" t="s">
        <v>158</v>
      </c>
      <c r="G46" s="13" t="s">
        <v>665</v>
      </c>
      <c r="H46" s="13" t="s">
        <v>676</v>
      </c>
      <c r="I46" s="14" t="s">
        <v>677</v>
      </c>
      <c r="J46" s="14" t="s">
        <v>28</v>
      </c>
      <c r="K46" s="14" t="s">
        <v>28</v>
      </c>
      <c r="L46" s="14" t="s">
        <v>678</v>
      </c>
    </row>
    <row r="47" customFormat="false" ht="15" hidden="false" customHeight="false" outlineLevel="0" collapsed="false">
      <c r="A47" s="12" t="s">
        <v>679</v>
      </c>
      <c r="B47" s="12" t="s">
        <v>41</v>
      </c>
      <c r="C47" s="13" t="s">
        <v>680</v>
      </c>
      <c r="D47" s="13" t="s">
        <v>465</v>
      </c>
      <c r="E47" s="13" t="s">
        <v>448</v>
      </c>
      <c r="F47" s="13" t="s">
        <v>467</v>
      </c>
      <c r="G47" s="13" t="s">
        <v>665</v>
      </c>
      <c r="H47" s="13" t="s">
        <v>676</v>
      </c>
      <c r="I47" s="14" t="s">
        <v>681</v>
      </c>
      <c r="J47" s="14" t="s">
        <v>51</v>
      </c>
      <c r="K47" s="14" t="s">
        <v>27</v>
      </c>
      <c r="L47" s="14" t="s">
        <v>682</v>
      </c>
    </row>
    <row r="48" customFormat="false" ht="23.85" hidden="false" customHeight="false" outlineLevel="0" collapsed="false">
      <c r="A48" s="12" t="s">
        <v>683</v>
      </c>
      <c r="B48" s="12" t="s">
        <v>42</v>
      </c>
      <c r="C48" s="13" t="s">
        <v>684</v>
      </c>
      <c r="D48" s="13" t="s">
        <v>465</v>
      </c>
      <c r="E48" s="13" t="s">
        <v>448</v>
      </c>
      <c r="F48" s="13" t="s">
        <v>685</v>
      </c>
      <c r="G48" s="13" t="s">
        <v>665</v>
      </c>
      <c r="H48" s="13" t="s">
        <v>686</v>
      </c>
      <c r="I48" s="14" t="s">
        <v>687</v>
      </c>
      <c r="J48" s="14" t="s">
        <v>51</v>
      </c>
      <c r="K48" s="14" t="s">
        <v>27</v>
      </c>
      <c r="L48" s="14" t="s">
        <v>478</v>
      </c>
    </row>
    <row r="49" customFormat="false" ht="23.85" hidden="false" customHeight="false" outlineLevel="0" collapsed="false">
      <c r="A49" s="12" t="s">
        <v>688</v>
      </c>
      <c r="B49" s="12" t="s">
        <v>42</v>
      </c>
      <c r="C49" s="13" t="s">
        <v>689</v>
      </c>
      <c r="D49" s="13" t="s">
        <v>440</v>
      </c>
      <c r="E49" s="13" t="s">
        <v>448</v>
      </c>
      <c r="F49" s="13" t="s">
        <v>131</v>
      </c>
      <c r="G49" s="13" t="s">
        <v>665</v>
      </c>
      <c r="H49" s="13" t="s">
        <v>690</v>
      </c>
      <c r="I49" s="14" t="s">
        <v>691</v>
      </c>
      <c r="J49" s="14" t="s">
        <v>51</v>
      </c>
      <c r="K49" s="14" t="s">
        <v>27</v>
      </c>
      <c r="L49" s="14" t="s">
        <v>692</v>
      </c>
    </row>
    <row r="50" customFormat="false" ht="23.85" hidden="false" customHeight="false" outlineLevel="0" collapsed="false">
      <c r="A50" s="12" t="s">
        <v>693</v>
      </c>
      <c r="B50" s="12" t="s">
        <v>42</v>
      </c>
      <c r="C50" s="13" t="s">
        <v>694</v>
      </c>
      <c r="D50" s="13" t="s">
        <v>440</v>
      </c>
      <c r="E50" s="13" t="s">
        <v>441</v>
      </c>
      <c r="F50" s="13" t="s">
        <v>467</v>
      </c>
      <c r="G50" s="13" t="s">
        <v>665</v>
      </c>
      <c r="H50" s="13" t="s">
        <v>695</v>
      </c>
      <c r="I50" s="14" t="s">
        <v>696</v>
      </c>
      <c r="J50" s="14" t="s">
        <v>51</v>
      </c>
      <c r="K50" s="14" t="s">
        <v>29</v>
      </c>
      <c r="L50" s="14" t="s">
        <v>697</v>
      </c>
    </row>
    <row r="51" customFormat="false" ht="23.85" hidden="false" customHeight="false" outlineLevel="0" collapsed="false">
      <c r="A51" s="12" t="s">
        <v>698</v>
      </c>
      <c r="B51" s="12" t="s">
        <v>42</v>
      </c>
      <c r="C51" s="13" t="s">
        <v>699</v>
      </c>
      <c r="D51" s="13" t="s">
        <v>465</v>
      </c>
      <c r="E51" s="13" t="s">
        <v>466</v>
      </c>
      <c r="F51" s="13" t="s">
        <v>467</v>
      </c>
      <c r="G51" s="13" t="s">
        <v>665</v>
      </c>
      <c r="H51" s="13" t="s">
        <v>700</v>
      </c>
      <c r="I51" s="14" t="s">
        <v>701</v>
      </c>
      <c r="J51" s="14" t="s">
        <v>28</v>
      </c>
      <c r="K51" s="14" t="s">
        <v>28</v>
      </c>
      <c r="L51" s="14" t="s">
        <v>702</v>
      </c>
    </row>
    <row r="52" customFormat="false" ht="23.85" hidden="false" customHeight="false" outlineLevel="0" collapsed="false">
      <c r="A52" s="12" t="s">
        <v>703</v>
      </c>
      <c r="B52" s="12" t="s">
        <v>43</v>
      </c>
      <c r="C52" s="13" t="s">
        <v>704</v>
      </c>
      <c r="D52" s="13" t="s">
        <v>440</v>
      </c>
      <c r="E52" s="13" t="s">
        <v>473</v>
      </c>
      <c r="F52" s="13" t="s">
        <v>467</v>
      </c>
      <c r="G52" s="13" t="s">
        <v>482</v>
      </c>
      <c r="H52" s="13" t="s">
        <v>705</v>
      </c>
      <c r="I52" s="14" t="s">
        <v>706</v>
      </c>
      <c r="J52" s="14" t="s">
        <v>51</v>
      </c>
      <c r="K52" s="14" t="s">
        <v>27</v>
      </c>
      <c r="L52" s="14" t="s">
        <v>591</v>
      </c>
    </row>
    <row r="53" customFormat="false" ht="23.85" hidden="false" customHeight="false" outlineLevel="0" collapsed="false">
      <c r="A53" s="12" t="s">
        <v>707</v>
      </c>
      <c r="B53" s="12" t="s">
        <v>43</v>
      </c>
      <c r="C53" s="13" t="s">
        <v>708</v>
      </c>
      <c r="D53" s="13" t="s">
        <v>440</v>
      </c>
      <c r="E53" s="13" t="s">
        <v>473</v>
      </c>
      <c r="F53" s="13" t="s">
        <v>96</v>
      </c>
      <c r="G53" s="13" t="s">
        <v>482</v>
      </c>
      <c r="H53" s="13" t="s">
        <v>709</v>
      </c>
      <c r="I53" s="14" t="s">
        <v>710</v>
      </c>
      <c r="J53" s="14" t="s">
        <v>28</v>
      </c>
      <c r="K53" s="14" t="s">
        <v>28</v>
      </c>
      <c r="L53" s="14" t="s">
        <v>711</v>
      </c>
    </row>
    <row r="54" customFormat="false" ht="23.85" hidden="false" customHeight="false" outlineLevel="0" collapsed="false">
      <c r="A54" s="12" t="s">
        <v>712</v>
      </c>
      <c r="B54" s="12" t="s">
        <v>43</v>
      </c>
      <c r="C54" s="13" t="s">
        <v>713</v>
      </c>
      <c r="D54" s="13" t="s">
        <v>440</v>
      </c>
      <c r="E54" s="13" t="s">
        <v>473</v>
      </c>
      <c r="F54" s="13" t="s">
        <v>154</v>
      </c>
      <c r="G54" s="13" t="s">
        <v>475</v>
      </c>
      <c r="H54" s="13" t="s">
        <v>714</v>
      </c>
      <c r="I54" s="14" t="s">
        <v>715</v>
      </c>
      <c r="J54" s="14" t="s">
        <v>51</v>
      </c>
      <c r="K54" s="14" t="s">
        <v>27</v>
      </c>
      <c r="L54" s="14" t="s">
        <v>716</v>
      </c>
    </row>
    <row r="55" customFormat="false" ht="23.85" hidden="false" customHeight="false" outlineLevel="0" collapsed="false">
      <c r="A55" s="12" t="s">
        <v>717</v>
      </c>
      <c r="B55" s="12" t="s">
        <v>44</v>
      </c>
      <c r="C55" s="13" t="s">
        <v>718</v>
      </c>
      <c r="D55" s="13" t="s">
        <v>440</v>
      </c>
      <c r="E55" s="13" t="s">
        <v>448</v>
      </c>
      <c r="F55" s="13" t="s">
        <v>719</v>
      </c>
      <c r="G55" s="13" t="s">
        <v>633</v>
      </c>
      <c r="H55" s="13" t="s">
        <v>720</v>
      </c>
      <c r="I55" s="14" t="s">
        <v>721</v>
      </c>
      <c r="J55" s="14" t="s">
        <v>51</v>
      </c>
      <c r="K55" s="14" t="s">
        <v>28</v>
      </c>
      <c r="L55" s="14" t="s">
        <v>722</v>
      </c>
    </row>
    <row r="56" customFormat="false" ht="23.85" hidden="false" customHeight="false" outlineLevel="0" collapsed="false">
      <c r="A56" s="12" t="s">
        <v>723</v>
      </c>
      <c r="B56" s="12" t="s">
        <v>44</v>
      </c>
      <c r="C56" s="13" t="s">
        <v>724</v>
      </c>
      <c r="D56" s="13" t="s">
        <v>440</v>
      </c>
      <c r="E56" s="13" t="s">
        <v>725</v>
      </c>
      <c r="F56" s="13" t="s">
        <v>467</v>
      </c>
      <c r="G56" s="13" t="s">
        <v>726</v>
      </c>
      <c r="H56" s="13" t="s">
        <v>727</v>
      </c>
      <c r="I56" s="14" t="s">
        <v>728</v>
      </c>
      <c r="J56" s="14" t="s">
        <v>51</v>
      </c>
      <c r="K56" s="14" t="s">
        <v>29</v>
      </c>
      <c r="L56" s="14" t="s">
        <v>729</v>
      </c>
    </row>
    <row r="57" customFormat="false" ht="23.85" hidden="false" customHeight="false" outlineLevel="0" collapsed="false">
      <c r="A57" s="12" t="s">
        <v>730</v>
      </c>
      <c r="B57" s="12" t="s">
        <v>44</v>
      </c>
      <c r="C57" s="13" t="s">
        <v>731</v>
      </c>
      <c r="D57" s="13" t="s">
        <v>465</v>
      </c>
      <c r="E57" s="13" t="s">
        <v>725</v>
      </c>
      <c r="F57" s="13" t="s">
        <v>467</v>
      </c>
      <c r="G57" s="13" t="s">
        <v>726</v>
      </c>
      <c r="H57" s="13" t="s">
        <v>732</v>
      </c>
      <c r="I57" s="14" t="s">
        <v>733</v>
      </c>
      <c r="J57" s="14" t="s">
        <v>51</v>
      </c>
      <c r="K57" s="14" t="s">
        <v>27</v>
      </c>
      <c r="L57" s="14" t="s">
        <v>734</v>
      </c>
    </row>
    <row r="58" customFormat="false" ht="23.85" hidden="false" customHeight="false" outlineLevel="0" collapsed="false">
      <c r="A58" s="12" t="s">
        <v>735</v>
      </c>
      <c r="B58" s="12" t="s">
        <v>44</v>
      </c>
      <c r="C58" s="13" t="s">
        <v>736</v>
      </c>
      <c r="D58" s="13" t="s">
        <v>494</v>
      </c>
      <c r="E58" s="13" t="s">
        <v>626</v>
      </c>
      <c r="F58" s="13" t="s">
        <v>467</v>
      </c>
      <c r="G58" s="13" t="s">
        <v>726</v>
      </c>
      <c r="H58" s="13" t="s">
        <v>737</v>
      </c>
      <c r="I58" s="14" t="s">
        <v>738</v>
      </c>
      <c r="J58" s="14" t="s">
        <v>51</v>
      </c>
      <c r="K58" s="14" t="s">
        <v>27</v>
      </c>
      <c r="L58" s="14" t="s">
        <v>478</v>
      </c>
    </row>
    <row r="59" customFormat="false" ht="23.85" hidden="false" customHeight="false" outlineLevel="0" collapsed="false">
      <c r="A59" s="12" t="s">
        <v>739</v>
      </c>
      <c r="B59" s="12" t="s">
        <v>45</v>
      </c>
      <c r="C59" s="13" t="s">
        <v>740</v>
      </c>
      <c r="D59" s="13" t="s">
        <v>440</v>
      </c>
      <c r="E59" s="13" t="s">
        <v>441</v>
      </c>
      <c r="F59" s="13" t="s">
        <v>467</v>
      </c>
      <c r="G59" s="13" t="s">
        <v>517</v>
      </c>
      <c r="H59" s="13" t="s">
        <v>741</v>
      </c>
      <c r="I59" s="14" t="s">
        <v>742</v>
      </c>
      <c r="J59" s="14" t="s">
        <v>51</v>
      </c>
      <c r="K59" s="14" t="s">
        <v>27</v>
      </c>
      <c r="L59" s="14" t="s">
        <v>520</v>
      </c>
    </row>
    <row r="60" customFormat="false" ht="23.85" hidden="false" customHeight="false" outlineLevel="0" collapsed="false">
      <c r="A60" s="12" t="s">
        <v>743</v>
      </c>
      <c r="B60" s="12" t="s">
        <v>45</v>
      </c>
      <c r="C60" s="13" t="s">
        <v>744</v>
      </c>
      <c r="D60" s="13" t="s">
        <v>465</v>
      </c>
      <c r="E60" s="13" t="s">
        <v>441</v>
      </c>
      <c r="F60" s="13" t="s">
        <v>467</v>
      </c>
      <c r="G60" s="13" t="s">
        <v>553</v>
      </c>
      <c r="H60" s="13" t="s">
        <v>745</v>
      </c>
      <c r="I60" s="14" t="s">
        <v>746</v>
      </c>
      <c r="J60" s="14" t="s">
        <v>51</v>
      </c>
      <c r="K60" s="14" t="s">
        <v>27</v>
      </c>
      <c r="L60" s="14" t="s">
        <v>556</v>
      </c>
    </row>
    <row r="61" customFormat="false" ht="23.85" hidden="false" customHeight="false" outlineLevel="0" collapsed="false">
      <c r="A61" s="12" t="s">
        <v>747</v>
      </c>
      <c r="B61" s="12" t="s">
        <v>45</v>
      </c>
      <c r="C61" s="13" t="s">
        <v>748</v>
      </c>
      <c r="D61" s="13" t="s">
        <v>440</v>
      </c>
      <c r="E61" s="13" t="s">
        <v>448</v>
      </c>
      <c r="F61" s="13" t="s">
        <v>140</v>
      </c>
      <c r="G61" s="13" t="s">
        <v>749</v>
      </c>
      <c r="H61" s="13" t="s">
        <v>676</v>
      </c>
      <c r="I61" s="14" t="s">
        <v>750</v>
      </c>
      <c r="J61" s="14" t="s">
        <v>28</v>
      </c>
      <c r="K61" s="14" t="s">
        <v>28</v>
      </c>
      <c r="L61" s="14" t="s">
        <v>751</v>
      </c>
    </row>
    <row r="62" customFormat="false" ht="23.85" hidden="false" customHeight="false" outlineLevel="0" collapsed="false">
      <c r="A62" s="12" t="s">
        <v>752</v>
      </c>
      <c r="B62" s="12" t="s">
        <v>46</v>
      </c>
      <c r="C62" s="13" t="s">
        <v>753</v>
      </c>
      <c r="D62" s="13" t="s">
        <v>440</v>
      </c>
      <c r="E62" s="13" t="s">
        <v>626</v>
      </c>
      <c r="F62" s="13" t="s">
        <v>467</v>
      </c>
      <c r="G62" s="13" t="s">
        <v>495</v>
      </c>
      <c r="H62" s="13" t="s">
        <v>754</v>
      </c>
      <c r="I62" s="14" t="s">
        <v>755</v>
      </c>
      <c r="J62" s="14" t="s">
        <v>51</v>
      </c>
      <c r="K62" s="14" t="s">
        <v>28</v>
      </c>
      <c r="L62" s="14" t="s">
        <v>498</v>
      </c>
    </row>
    <row r="63" customFormat="false" ht="23.85" hidden="false" customHeight="false" outlineLevel="0" collapsed="false">
      <c r="A63" s="12" t="s">
        <v>756</v>
      </c>
      <c r="B63" s="12" t="s">
        <v>46</v>
      </c>
      <c r="C63" s="13" t="s">
        <v>757</v>
      </c>
      <c r="D63" s="13" t="s">
        <v>465</v>
      </c>
      <c r="E63" s="13" t="s">
        <v>448</v>
      </c>
      <c r="F63" s="13" t="s">
        <v>467</v>
      </c>
      <c r="G63" s="13" t="s">
        <v>495</v>
      </c>
      <c r="H63" s="13" t="s">
        <v>758</v>
      </c>
      <c r="I63" s="14" t="s">
        <v>759</v>
      </c>
      <c r="J63" s="14" t="s">
        <v>51</v>
      </c>
      <c r="K63" s="14" t="s">
        <v>27</v>
      </c>
      <c r="L63" s="14" t="s">
        <v>760</v>
      </c>
    </row>
    <row r="64" customFormat="false" ht="35.05" hidden="false" customHeight="false" outlineLevel="0" collapsed="false">
      <c r="A64" s="12" t="s">
        <v>761</v>
      </c>
      <c r="B64" s="12" t="s">
        <v>46</v>
      </c>
      <c r="C64" s="13" t="s">
        <v>762</v>
      </c>
      <c r="D64" s="13" t="s">
        <v>440</v>
      </c>
      <c r="E64" s="13" t="s">
        <v>441</v>
      </c>
      <c r="F64" s="13" t="s">
        <v>467</v>
      </c>
      <c r="G64" s="13" t="s">
        <v>495</v>
      </c>
      <c r="H64" s="13" t="s">
        <v>763</v>
      </c>
      <c r="I64" s="14" t="s">
        <v>764</v>
      </c>
      <c r="J64" s="14" t="s">
        <v>51</v>
      </c>
      <c r="K64" s="14" t="s">
        <v>27</v>
      </c>
      <c r="L64" s="14" t="s">
        <v>765</v>
      </c>
    </row>
    <row r="65" customFormat="false" ht="23.85" hidden="false" customHeight="false" outlineLevel="0" collapsed="false">
      <c r="A65" s="12" t="s">
        <v>766</v>
      </c>
      <c r="B65" s="12" t="s">
        <v>47</v>
      </c>
      <c r="C65" s="13" t="s">
        <v>767</v>
      </c>
      <c r="D65" s="13" t="s">
        <v>465</v>
      </c>
      <c r="E65" s="13" t="s">
        <v>441</v>
      </c>
      <c r="F65" s="13" t="s">
        <v>467</v>
      </c>
      <c r="G65" s="13" t="s">
        <v>553</v>
      </c>
      <c r="H65" s="13" t="s">
        <v>768</v>
      </c>
      <c r="I65" s="14" t="s">
        <v>769</v>
      </c>
      <c r="J65" s="14" t="s">
        <v>51</v>
      </c>
      <c r="K65" s="14" t="s">
        <v>27</v>
      </c>
      <c r="L65" s="14" t="s">
        <v>576</v>
      </c>
    </row>
    <row r="66" customFormat="false" ht="23.85" hidden="false" customHeight="false" outlineLevel="0" collapsed="false">
      <c r="A66" s="12" t="s">
        <v>770</v>
      </c>
      <c r="B66" s="12" t="s">
        <v>47</v>
      </c>
      <c r="C66" s="13" t="s">
        <v>771</v>
      </c>
      <c r="D66" s="13" t="s">
        <v>440</v>
      </c>
      <c r="E66" s="13" t="s">
        <v>441</v>
      </c>
      <c r="F66" s="13" t="s">
        <v>772</v>
      </c>
      <c r="G66" s="13" t="s">
        <v>442</v>
      </c>
      <c r="H66" s="13" t="s">
        <v>773</v>
      </c>
      <c r="I66" s="14" t="s">
        <v>774</v>
      </c>
      <c r="J66" s="14" t="s">
        <v>51</v>
      </c>
      <c r="K66" s="14" t="s">
        <v>27</v>
      </c>
      <c r="L66" s="14" t="s">
        <v>556</v>
      </c>
    </row>
    <row r="67" customFormat="false" ht="23.85" hidden="false" customHeight="false" outlineLevel="0" collapsed="false">
      <c r="A67" s="12" t="s">
        <v>775</v>
      </c>
      <c r="B67" s="12" t="s">
        <v>48</v>
      </c>
      <c r="C67" s="13" t="s">
        <v>776</v>
      </c>
      <c r="D67" s="13" t="s">
        <v>465</v>
      </c>
      <c r="E67" s="13" t="s">
        <v>448</v>
      </c>
      <c r="F67" s="13" t="s">
        <v>481</v>
      </c>
      <c r="G67" s="13" t="s">
        <v>553</v>
      </c>
      <c r="H67" s="13" t="s">
        <v>777</v>
      </c>
      <c r="I67" s="14" t="s">
        <v>778</v>
      </c>
      <c r="J67" s="14" t="s">
        <v>51</v>
      </c>
      <c r="K67" s="14" t="s">
        <v>28</v>
      </c>
      <c r="L67" s="14" t="s">
        <v>779</v>
      </c>
    </row>
    <row r="68" customFormat="false" ht="23.85" hidden="false" customHeight="false" outlineLevel="0" collapsed="false">
      <c r="A68" s="12" t="s">
        <v>780</v>
      </c>
      <c r="B68" s="12" t="s">
        <v>48</v>
      </c>
      <c r="C68" s="13" t="s">
        <v>781</v>
      </c>
      <c r="D68" s="13" t="s">
        <v>494</v>
      </c>
      <c r="E68" s="13" t="s">
        <v>441</v>
      </c>
      <c r="F68" s="13" t="s">
        <v>467</v>
      </c>
      <c r="G68" s="13" t="s">
        <v>495</v>
      </c>
      <c r="H68" s="13" t="s">
        <v>782</v>
      </c>
      <c r="I68" s="14" t="s">
        <v>606</v>
      </c>
      <c r="J68" s="14" t="s">
        <v>53</v>
      </c>
      <c r="K68" s="14" t="s">
        <v>30</v>
      </c>
      <c r="L68" s="14" t="s">
        <v>607</v>
      </c>
    </row>
  </sheetData>
  <conditionalFormatting sqref="K4:K68">
    <cfRule type="cellIs" priority="2" operator="equal" aboveAverage="0" equalAverage="0" bottom="0" percent="0" rank="0" text="" dxfId="0">
      <formula>"Gap"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"Satisfactory"</formula>
    </cfRule>
  </conditionalFormatting>
  <dataValidations count="2">
    <dataValidation allowBlank="true" errorStyle="stop" operator="between" showDropDown="false" showErrorMessage="false" showInputMessage="false" sqref="J4:J68" type="list">
      <formula1>"Full,Partial,Declined,No reply"</formula1>
      <formula2>0</formula2>
    </dataValidation>
    <dataValidation allowBlank="true" errorStyle="stop" operator="between" showDropDown="false" showErrorMessage="false" showInputMessage="false" sqref="K4:K68" type="list">
      <formula1>"Satisfactory,Partial,Gap,Not assessed"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56"/>
    <col collapsed="false" customWidth="true" hidden="false" outlineLevel="0" max="4" min="4" style="0" width="5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6" t="s">
        <v>783</v>
      </c>
    </row>
    <row r="3" customFormat="false" ht="15" hidden="false" customHeight="false" outlineLevel="0" collapsed="false">
      <c r="A3" s="8" t="s">
        <v>426</v>
      </c>
      <c r="B3" s="8" t="s">
        <v>784</v>
      </c>
      <c r="C3" s="8" t="s">
        <v>428</v>
      </c>
      <c r="D3" s="8" t="s">
        <v>434</v>
      </c>
      <c r="E3" s="8" t="s">
        <v>435</v>
      </c>
      <c r="F3" s="8" t="s">
        <v>436</v>
      </c>
      <c r="G3" s="8" t="s">
        <v>437</v>
      </c>
    </row>
    <row r="4" customFormat="false" ht="23.85" hidden="false" customHeight="false" outlineLevel="0" collapsed="false">
      <c r="A4" s="12" t="s">
        <v>785</v>
      </c>
      <c r="B4" s="12" t="s">
        <v>786</v>
      </c>
      <c r="C4" s="13" t="s">
        <v>787</v>
      </c>
      <c r="D4" s="14" t="s">
        <v>788</v>
      </c>
      <c r="E4" s="14" t="s">
        <v>51</v>
      </c>
      <c r="F4" s="14" t="s">
        <v>27</v>
      </c>
      <c r="G4" s="14" t="s">
        <v>478</v>
      </c>
    </row>
    <row r="5" customFormat="false" ht="23.85" hidden="false" customHeight="false" outlineLevel="0" collapsed="false">
      <c r="A5" s="12" t="s">
        <v>789</v>
      </c>
      <c r="B5" s="12" t="s">
        <v>786</v>
      </c>
      <c r="C5" s="13" t="s">
        <v>790</v>
      </c>
      <c r="D5" s="14" t="s">
        <v>791</v>
      </c>
      <c r="E5" s="14" t="s">
        <v>51</v>
      </c>
      <c r="F5" s="14" t="s">
        <v>28</v>
      </c>
      <c r="G5" s="14" t="s">
        <v>792</v>
      </c>
    </row>
    <row r="6" customFormat="false" ht="23.85" hidden="false" customHeight="false" outlineLevel="0" collapsed="false">
      <c r="A6" s="12" t="s">
        <v>793</v>
      </c>
      <c r="B6" s="12" t="s">
        <v>794</v>
      </c>
      <c r="C6" s="13" t="s">
        <v>795</v>
      </c>
      <c r="D6" s="14" t="s">
        <v>796</v>
      </c>
      <c r="E6" s="14" t="s">
        <v>51</v>
      </c>
      <c r="F6" s="14" t="s">
        <v>27</v>
      </c>
      <c r="G6" s="14" t="s">
        <v>478</v>
      </c>
    </row>
    <row r="7" customFormat="false" ht="23.85" hidden="false" customHeight="false" outlineLevel="0" collapsed="false">
      <c r="A7" s="12" t="s">
        <v>797</v>
      </c>
      <c r="B7" s="12" t="s">
        <v>798</v>
      </c>
      <c r="C7" s="13" t="s">
        <v>799</v>
      </c>
      <c r="D7" s="14" t="s">
        <v>800</v>
      </c>
      <c r="E7" s="14" t="s">
        <v>51</v>
      </c>
      <c r="F7" s="14" t="s">
        <v>27</v>
      </c>
      <c r="G7" s="14" t="s">
        <v>478</v>
      </c>
    </row>
    <row r="8" customFormat="false" ht="23.85" hidden="false" customHeight="false" outlineLevel="0" collapsed="false">
      <c r="A8" s="12" t="s">
        <v>801</v>
      </c>
      <c r="B8" s="12" t="s">
        <v>798</v>
      </c>
      <c r="C8" s="13" t="s">
        <v>802</v>
      </c>
      <c r="D8" s="14" t="s">
        <v>803</v>
      </c>
      <c r="E8" s="14" t="s">
        <v>51</v>
      </c>
      <c r="F8" s="14" t="s">
        <v>27</v>
      </c>
      <c r="G8" s="14" t="s">
        <v>478</v>
      </c>
    </row>
    <row r="9" customFormat="false" ht="23.85" hidden="false" customHeight="false" outlineLevel="0" collapsed="false">
      <c r="A9" s="12" t="s">
        <v>804</v>
      </c>
      <c r="B9" s="12" t="s">
        <v>798</v>
      </c>
      <c r="C9" s="13" t="s">
        <v>805</v>
      </c>
      <c r="D9" s="14" t="s">
        <v>806</v>
      </c>
      <c r="E9" s="14" t="s">
        <v>51</v>
      </c>
      <c r="F9" s="14" t="s">
        <v>27</v>
      </c>
      <c r="G9" s="14" t="s">
        <v>478</v>
      </c>
    </row>
    <row r="10" customFormat="false" ht="23.85" hidden="false" customHeight="false" outlineLevel="0" collapsed="false">
      <c r="A10" s="12" t="s">
        <v>807</v>
      </c>
      <c r="B10" s="12" t="s">
        <v>808</v>
      </c>
      <c r="C10" s="13" t="s">
        <v>809</v>
      </c>
      <c r="D10" s="14" t="s">
        <v>810</v>
      </c>
      <c r="E10" s="14" t="s">
        <v>51</v>
      </c>
      <c r="F10" s="14" t="s">
        <v>27</v>
      </c>
      <c r="G10" s="14" t="s">
        <v>478</v>
      </c>
    </row>
    <row r="11" customFormat="false" ht="23.85" hidden="false" customHeight="false" outlineLevel="0" collapsed="false">
      <c r="A11" s="12" t="s">
        <v>811</v>
      </c>
      <c r="B11" s="12" t="s">
        <v>808</v>
      </c>
      <c r="C11" s="13" t="s">
        <v>812</v>
      </c>
      <c r="D11" s="14" t="s">
        <v>813</v>
      </c>
      <c r="E11" s="14" t="s">
        <v>51</v>
      </c>
      <c r="F11" s="14" t="s">
        <v>27</v>
      </c>
      <c r="G11" s="14" t="s">
        <v>478</v>
      </c>
    </row>
    <row r="12" customFormat="false" ht="23.85" hidden="false" customHeight="false" outlineLevel="0" collapsed="false">
      <c r="A12" s="12" t="s">
        <v>814</v>
      </c>
      <c r="B12" s="12" t="s">
        <v>815</v>
      </c>
      <c r="C12" s="13" t="s">
        <v>816</v>
      </c>
      <c r="D12" s="14" t="s">
        <v>817</v>
      </c>
      <c r="E12" s="14" t="s">
        <v>51</v>
      </c>
      <c r="F12" s="14" t="s">
        <v>28</v>
      </c>
      <c r="G12" s="14" t="s">
        <v>818</v>
      </c>
    </row>
    <row r="13" customFormat="false" ht="23.85" hidden="false" customHeight="false" outlineLevel="0" collapsed="false">
      <c r="A13" s="12" t="s">
        <v>819</v>
      </c>
      <c r="B13" s="12" t="s">
        <v>815</v>
      </c>
      <c r="C13" s="13" t="s">
        <v>820</v>
      </c>
      <c r="D13" s="14" t="s">
        <v>821</v>
      </c>
      <c r="E13" s="14" t="s">
        <v>51</v>
      </c>
      <c r="F13" s="14" t="s">
        <v>27</v>
      </c>
      <c r="G13" s="14" t="s">
        <v>642</v>
      </c>
    </row>
    <row r="14" customFormat="false" ht="23.85" hidden="false" customHeight="false" outlineLevel="0" collapsed="false">
      <c r="A14" s="12" t="s">
        <v>822</v>
      </c>
      <c r="B14" s="12" t="s">
        <v>815</v>
      </c>
      <c r="C14" s="13" t="s">
        <v>823</v>
      </c>
      <c r="D14" s="14" t="s">
        <v>824</v>
      </c>
      <c r="E14" s="14" t="s">
        <v>51</v>
      </c>
      <c r="F14" s="14" t="s">
        <v>27</v>
      </c>
      <c r="G14" s="14" t="s">
        <v>478</v>
      </c>
    </row>
    <row r="15" customFormat="false" ht="35.05" hidden="false" customHeight="false" outlineLevel="0" collapsed="false">
      <c r="A15" s="12" t="s">
        <v>825</v>
      </c>
      <c r="B15" s="12" t="s">
        <v>815</v>
      </c>
      <c r="C15" s="13" t="s">
        <v>826</v>
      </c>
      <c r="D15" s="14" t="s">
        <v>827</v>
      </c>
      <c r="E15" s="14" t="s">
        <v>51</v>
      </c>
      <c r="F15" s="14" t="s">
        <v>27</v>
      </c>
      <c r="G15" s="14" t="s">
        <v>478</v>
      </c>
    </row>
    <row r="16" customFormat="false" ht="35.05" hidden="false" customHeight="false" outlineLevel="0" collapsed="false">
      <c r="A16" s="12" t="s">
        <v>828</v>
      </c>
      <c r="B16" s="12" t="s">
        <v>829</v>
      </c>
      <c r="C16" s="13" t="s">
        <v>830</v>
      </c>
      <c r="D16" s="14" t="s">
        <v>831</v>
      </c>
      <c r="E16" s="14" t="s">
        <v>51</v>
      </c>
      <c r="F16" s="14" t="s">
        <v>28</v>
      </c>
      <c r="G16" s="14" t="s">
        <v>832</v>
      </c>
    </row>
    <row r="17" customFormat="false" ht="23.85" hidden="false" customHeight="false" outlineLevel="0" collapsed="false">
      <c r="A17" s="12" t="s">
        <v>833</v>
      </c>
      <c r="B17" s="12" t="s">
        <v>834</v>
      </c>
      <c r="C17" s="13" t="s">
        <v>835</v>
      </c>
      <c r="D17" s="14" t="s">
        <v>836</v>
      </c>
      <c r="E17" s="14" t="s">
        <v>51</v>
      </c>
      <c r="F17" s="14" t="s">
        <v>28</v>
      </c>
      <c r="G17" s="14" t="s">
        <v>837</v>
      </c>
    </row>
    <row r="18" customFormat="false" ht="23.85" hidden="false" customHeight="false" outlineLevel="0" collapsed="false">
      <c r="A18" s="12" t="s">
        <v>838</v>
      </c>
      <c r="B18" s="12" t="s">
        <v>834</v>
      </c>
      <c r="C18" s="13" t="s">
        <v>839</v>
      </c>
      <c r="D18" s="14" t="s">
        <v>840</v>
      </c>
      <c r="E18" s="14" t="s">
        <v>51</v>
      </c>
      <c r="F18" s="14" t="s">
        <v>27</v>
      </c>
      <c r="G18" s="14" t="s">
        <v>478</v>
      </c>
    </row>
    <row r="19" customFormat="false" ht="23.85" hidden="false" customHeight="false" outlineLevel="0" collapsed="false">
      <c r="A19" s="12" t="s">
        <v>841</v>
      </c>
      <c r="B19" s="12" t="s">
        <v>842</v>
      </c>
      <c r="C19" s="13" t="s">
        <v>843</v>
      </c>
      <c r="D19" s="14" t="s">
        <v>844</v>
      </c>
      <c r="E19" s="14" t="s">
        <v>51</v>
      </c>
      <c r="F19" s="14" t="s">
        <v>27</v>
      </c>
      <c r="G19" s="14" t="s">
        <v>716</v>
      </c>
    </row>
    <row r="20" customFormat="false" ht="23.85" hidden="false" customHeight="false" outlineLevel="0" collapsed="false">
      <c r="A20" s="12" t="s">
        <v>845</v>
      </c>
      <c r="B20" s="12" t="s">
        <v>842</v>
      </c>
      <c r="C20" s="13" t="s">
        <v>846</v>
      </c>
      <c r="D20" s="14" t="s">
        <v>847</v>
      </c>
      <c r="E20" s="14" t="s">
        <v>51</v>
      </c>
      <c r="F20" s="14" t="s">
        <v>27</v>
      </c>
      <c r="G20" s="14" t="s">
        <v>478</v>
      </c>
    </row>
    <row r="21" customFormat="false" ht="23.85" hidden="false" customHeight="false" outlineLevel="0" collapsed="false">
      <c r="A21" s="12" t="s">
        <v>848</v>
      </c>
      <c r="B21" s="12" t="s">
        <v>849</v>
      </c>
      <c r="C21" s="13" t="s">
        <v>850</v>
      </c>
      <c r="D21" s="14" t="s">
        <v>851</v>
      </c>
      <c r="E21" s="14" t="s">
        <v>51</v>
      </c>
      <c r="F21" s="14" t="s">
        <v>28</v>
      </c>
      <c r="G21" s="14" t="s">
        <v>852</v>
      </c>
    </row>
    <row r="22" customFormat="false" ht="23.85" hidden="false" customHeight="false" outlineLevel="0" collapsed="false">
      <c r="A22" s="12" t="s">
        <v>853</v>
      </c>
      <c r="B22" s="12" t="s">
        <v>849</v>
      </c>
      <c r="C22" s="13" t="s">
        <v>854</v>
      </c>
      <c r="D22" s="14" t="s">
        <v>855</v>
      </c>
      <c r="E22" s="14" t="s">
        <v>51</v>
      </c>
      <c r="F22" s="14" t="s">
        <v>27</v>
      </c>
      <c r="G22" s="14" t="s">
        <v>478</v>
      </c>
    </row>
    <row r="23" customFormat="false" ht="23.85" hidden="false" customHeight="false" outlineLevel="0" collapsed="false">
      <c r="A23" s="12" t="s">
        <v>856</v>
      </c>
      <c r="B23" s="12" t="s">
        <v>857</v>
      </c>
      <c r="C23" s="13" t="s">
        <v>858</v>
      </c>
      <c r="D23" s="14" t="s">
        <v>859</v>
      </c>
      <c r="E23" s="14" t="s">
        <v>51</v>
      </c>
      <c r="F23" s="14" t="s">
        <v>28</v>
      </c>
      <c r="G23" s="14" t="s">
        <v>860</v>
      </c>
    </row>
    <row r="24" customFormat="false" ht="23.85" hidden="false" customHeight="false" outlineLevel="0" collapsed="false">
      <c r="A24" s="12" t="s">
        <v>632</v>
      </c>
      <c r="B24" s="12" t="s">
        <v>861</v>
      </c>
      <c r="C24" s="13" t="s">
        <v>862</v>
      </c>
      <c r="D24" s="14" t="s">
        <v>863</v>
      </c>
      <c r="E24" s="14" t="s">
        <v>51</v>
      </c>
      <c r="F24" s="14" t="s">
        <v>28</v>
      </c>
      <c r="G24" s="14" t="s">
        <v>636</v>
      </c>
    </row>
    <row r="25" customFormat="false" ht="23.85" hidden="false" customHeight="false" outlineLevel="0" collapsed="false">
      <c r="A25" s="12" t="s">
        <v>864</v>
      </c>
      <c r="B25" s="12" t="s">
        <v>865</v>
      </c>
      <c r="C25" s="13" t="s">
        <v>866</v>
      </c>
      <c r="D25" s="14" t="s">
        <v>867</v>
      </c>
      <c r="E25" s="14" t="s">
        <v>51</v>
      </c>
      <c r="F25" s="14" t="s">
        <v>27</v>
      </c>
      <c r="G25" s="14" t="s">
        <v>751</v>
      </c>
    </row>
    <row r="26" customFormat="false" ht="23.85" hidden="false" customHeight="false" outlineLevel="0" collapsed="false">
      <c r="A26" s="12" t="s">
        <v>868</v>
      </c>
      <c r="B26" s="12" t="s">
        <v>865</v>
      </c>
      <c r="C26" s="13" t="s">
        <v>869</v>
      </c>
      <c r="D26" s="14" t="s">
        <v>870</v>
      </c>
      <c r="E26" s="14" t="s">
        <v>51</v>
      </c>
      <c r="F26" s="14" t="s">
        <v>27</v>
      </c>
      <c r="G26" s="14" t="s">
        <v>751</v>
      </c>
    </row>
  </sheetData>
  <conditionalFormatting sqref="F4:F26">
    <cfRule type="cellIs" priority="2" operator="equal" aboveAverage="0" equalAverage="0" bottom="0" percent="0" rank="0" text="" dxfId="0">
      <formula>"Gap"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"Satisfactory"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0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34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6" t="s">
        <v>871</v>
      </c>
    </row>
    <row r="3" customFormat="false" ht="23.85" hidden="false" customHeight="false" outlineLevel="0" collapsed="false">
      <c r="A3" s="8" t="s">
        <v>872</v>
      </c>
      <c r="B3" s="8" t="s">
        <v>873</v>
      </c>
      <c r="C3" s="8" t="s">
        <v>874</v>
      </c>
      <c r="D3" s="8" t="s">
        <v>875</v>
      </c>
      <c r="E3" s="8" t="s">
        <v>876</v>
      </c>
      <c r="F3" s="8" t="s">
        <v>877</v>
      </c>
      <c r="G3" s="8" t="s">
        <v>373</v>
      </c>
    </row>
    <row r="4" customFormat="false" ht="15" hidden="false" customHeight="false" outlineLevel="0" collapsed="false">
      <c r="A4" s="12" t="s">
        <v>878</v>
      </c>
      <c r="B4" s="13" t="s">
        <v>879</v>
      </c>
      <c r="C4" s="13" t="s">
        <v>342</v>
      </c>
      <c r="D4" s="13" t="s">
        <v>880</v>
      </c>
      <c r="E4" s="13" t="s">
        <v>65</v>
      </c>
      <c r="F4" s="13" t="s">
        <v>881</v>
      </c>
      <c r="G4" s="13" t="s">
        <v>882</v>
      </c>
    </row>
    <row r="5" customFormat="false" ht="15" hidden="false" customHeight="false" outlineLevel="0" collapsed="false">
      <c r="A5" s="12" t="s">
        <v>883</v>
      </c>
      <c r="B5" s="13" t="s">
        <v>884</v>
      </c>
      <c r="C5" s="13" t="s">
        <v>342</v>
      </c>
      <c r="D5" s="13" t="s">
        <v>885</v>
      </c>
      <c r="E5" s="13" t="s">
        <v>886</v>
      </c>
      <c r="F5" s="13" t="s">
        <v>438</v>
      </c>
      <c r="G5" s="13" t="s">
        <v>887</v>
      </c>
    </row>
    <row r="6" customFormat="false" ht="15" hidden="false" customHeight="false" outlineLevel="0" collapsed="false">
      <c r="A6" s="12" t="s">
        <v>888</v>
      </c>
      <c r="B6" s="13" t="s">
        <v>889</v>
      </c>
      <c r="C6" s="13" t="s">
        <v>342</v>
      </c>
      <c r="D6" s="13" t="s">
        <v>890</v>
      </c>
      <c r="E6" s="13" t="s">
        <v>886</v>
      </c>
      <c r="F6" s="13" t="s">
        <v>86</v>
      </c>
      <c r="G6" s="13" t="s">
        <v>891</v>
      </c>
    </row>
    <row r="7" customFormat="false" ht="15" hidden="false" customHeight="false" outlineLevel="0" collapsed="false">
      <c r="A7" s="12" t="s">
        <v>892</v>
      </c>
      <c r="B7" s="13" t="s">
        <v>893</v>
      </c>
      <c r="C7" s="13" t="s">
        <v>342</v>
      </c>
      <c r="D7" s="13" t="s">
        <v>894</v>
      </c>
      <c r="E7" s="13" t="s">
        <v>886</v>
      </c>
      <c r="F7" s="13" t="s">
        <v>452</v>
      </c>
      <c r="G7" s="13" t="s">
        <v>895</v>
      </c>
    </row>
    <row r="8" customFormat="false" ht="15" hidden="false" customHeight="false" outlineLevel="0" collapsed="false">
      <c r="A8" s="12" t="s">
        <v>896</v>
      </c>
      <c r="B8" s="13" t="s">
        <v>460</v>
      </c>
      <c r="C8" s="13" t="s">
        <v>897</v>
      </c>
      <c r="D8" s="13" t="s">
        <v>898</v>
      </c>
      <c r="E8" s="13" t="s">
        <v>886</v>
      </c>
      <c r="F8" s="13" t="s">
        <v>458</v>
      </c>
      <c r="G8" s="13" t="s">
        <v>899</v>
      </c>
    </row>
    <row r="9" customFormat="false" ht="23.85" hidden="false" customHeight="false" outlineLevel="0" collapsed="false">
      <c r="A9" s="12" t="s">
        <v>900</v>
      </c>
      <c r="B9" s="13" t="s">
        <v>901</v>
      </c>
      <c r="C9" s="13" t="s">
        <v>342</v>
      </c>
      <c r="D9" s="13" t="s">
        <v>890</v>
      </c>
      <c r="E9" s="13" t="s">
        <v>65</v>
      </c>
      <c r="F9" s="13" t="s">
        <v>707</v>
      </c>
      <c r="G9" s="13" t="s">
        <v>902</v>
      </c>
    </row>
    <row r="10" customFormat="false" ht="15" hidden="false" customHeight="false" outlineLevel="0" collapsed="false">
      <c r="A10" s="12" t="s">
        <v>377</v>
      </c>
      <c r="B10" s="13" t="s">
        <v>903</v>
      </c>
      <c r="C10" s="13" t="s">
        <v>897</v>
      </c>
      <c r="D10" s="13" t="s">
        <v>904</v>
      </c>
      <c r="E10" s="13" t="s">
        <v>886</v>
      </c>
      <c r="F10" s="13" t="s">
        <v>614</v>
      </c>
      <c r="G10" s="13" t="s">
        <v>905</v>
      </c>
    </row>
    <row r="11" customFormat="false" ht="15" hidden="false" customHeight="false" outlineLevel="0" collapsed="false">
      <c r="A11" s="12" t="s">
        <v>906</v>
      </c>
      <c r="B11" s="13" t="s">
        <v>907</v>
      </c>
      <c r="C11" s="13" t="s">
        <v>342</v>
      </c>
      <c r="D11" s="13" t="s">
        <v>890</v>
      </c>
      <c r="E11" s="13" t="s">
        <v>65</v>
      </c>
      <c r="F11" s="13" t="s">
        <v>608</v>
      </c>
      <c r="G11" s="13" t="s">
        <v>908</v>
      </c>
    </row>
    <row r="12" customFormat="false" ht="15" hidden="false" customHeight="false" outlineLevel="0" collapsed="false">
      <c r="A12" s="12" t="s">
        <v>108</v>
      </c>
      <c r="B12" s="13" t="s">
        <v>909</v>
      </c>
      <c r="C12" s="13" t="s">
        <v>342</v>
      </c>
      <c r="D12" s="13" t="s">
        <v>910</v>
      </c>
      <c r="E12" s="13" t="s">
        <v>911</v>
      </c>
      <c r="F12" s="13" t="s">
        <v>106</v>
      </c>
      <c r="G12" s="13" t="s">
        <v>912</v>
      </c>
    </row>
    <row r="13" customFormat="false" ht="15" hidden="false" customHeight="false" outlineLevel="0" collapsed="false">
      <c r="A13" s="12" t="s">
        <v>913</v>
      </c>
      <c r="B13" s="13" t="s">
        <v>914</v>
      </c>
      <c r="C13" s="13" t="s">
        <v>342</v>
      </c>
      <c r="D13" s="13" t="s">
        <v>890</v>
      </c>
      <c r="E13" s="13" t="s">
        <v>886</v>
      </c>
      <c r="F13" s="13" t="s">
        <v>111</v>
      </c>
      <c r="G13" s="13" t="s">
        <v>915</v>
      </c>
    </row>
    <row r="14" customFormat="false" ht="15" hidden="false" customHeight="false" outlineLevel="0" collapsed="false">
      <c r="A14" s="12" t="s">
        <v>123</v>
      </c>
      <c r="B14" s="13" t="s">
        <v>916</v>
      </c>
      <c r="C14" s="13" t="s">
        <v>342</v>
      </c>
      <c r="D14" s="13" t="s">
        <v>917</v>
      </c>
      <c r="E14" s="13" t="s">
        <v>886</v>
      </c>
      <c r="F14" s="13" t="s">
        <v>121</v>
      </c>
      <c r="G14" s="13" t="s">
        <v>918</v>
      </c>
    </row>
    <row r="15" customFormat="false" ht="15" hidden="false" customHeight="false" outlineLevel="0" collapsed="false">
      <c r="A15" s="12" t="s">
        <v>128</v>
      </c>
      <c r="B15" s="13" t="s">
        <v>919</v>
      </c>
      <c r="C15" s="13" t="s">
        <v>264</v>
      </c>
      <c r="D15" s="13" t="s">
        <v>890</v>
      </c>
      <c r="E15" s="13" t="s">
        <v>920</v>
      </c>
      <c r="F15" s="13" t="s">
        <v>126</v>
      </c>
      <c r="G15" s="13" t="s">
        <v>921</v>
      </c>
    </row>
    <row r="16" customFormat="false" ht="15" hidden="false" customHeight="false" outlineLevel="0" collapsed="false">
      <c r="A16" s="12" t="s">
        <v>133</v>
      </c>
      <c r="B16" s="13" t="s">
        <v>922</v>
      </c>
      <c r="C16" s="13" t="s">
        <v>342</v>
      </c>
      <c r="D16" s="13" t="s">
        <v>923</v>
      </c>
      <c r="E16" s="13" t="s">
        <v>886</v>
      </c>
      <c r="F16" s="13" t="s">
        <v>688</v>
      </c>
      <c r="G16" s="13" t="s">
        <v>924</v>
      </c>
    </row>
    <row r="17" customFormat="false" ht="15" hidden="false" customHeight="false" outlineLevel="0" collapsed="false">
      <c r="A17" s="12" t="s">
        <v>138</v>
      </c>
      <c r="B17" s="13" t="s">
        <v>925</v>
      </c>
      <c r="C17" s="13" t="s">
        <v>342</v>
      </c>
      <c r="D17" s="13" t="s">
        <v>926</v>
      </c>
      <c r="E17" s="13" t="s">
        <v>886</v>
      </c>
      <c r="F17" s="13" t="s">
        <v>927</v>
      </c>
      <c r="G17" s="13" t="s">
        <v>928</v>
      </c>
    </row>
    <row r="18" customFormat="false" ht="15" hidden="false" customHeight="false" outlineLevel="0" collapsed="false">
      <c r="A18" s="12" t="s">
        <v>147</v>
      </c>
      <c r="B18" s="13" t="s">
        <v>929</v>
      </c>
      <c r="C18" s="13" t="s">
        <v>342</v>
      </c>
      <c r="D18" s="13" t="s">
        <v>930</v>
      </c>
      <c r="E18" s="13" t="s">
        <v>886</v>
      </c>
      <c r="F18" s="13" t="s">
        <v>931</v>
      </c>
      <c r="G18" s="13" t="s">
        <v>932</v>
      </c>
    </row>
    <row r="19" customFormat="false" ht="15" hidden="false" customHeight="false" outlineLevel="0" collapsed="false">
      <c r="A19" s="12" t="s">
        <v>151</v>
      </c>
      <c r="B19" s="13" t="s">
        <v>933</v>
      </c>
      <c r="C19" s="13" t="s">
        <v>342</v>
      </c>
      <c r="D19" s="13" t="s">
        <v>890</v>
      </c>
      <c r="E19" s="13" t="s">
        <v>65</v>
      </c>
      <c r="F19" s="13" t="s">
        <v>149</v>
      </c>
      <c r="G19" s="13" t="s">
        <v>934</v>
      </c>
    </row>
    <row r="20" customFormat="false" ht="15" hidden="false" customHeight="false" outlineLevel="0" collapsed="false">
      <c r="A20" s="12" t="s">
        <v>165</v>
      </c>
      <c r="B20" s="13" t="s">
        <v>935</v>
      </c>
      <c r="C20" s="13" t="s">
        <v>342</v>
      </c>
      <c r="D20" s="13" t="s">
        <v>890</v>
      </c>
      <c r="E20" s="13" t="s">
        <v>65</v>
      </c>
      <c r="F20" s="13" t="s">
        <v>163</v>
      </c>
      <c r="G20" s="13" t="s">
        <v>936</v>
      </c>
    </row>
    <row r="21" customFormat="false" ht="15" hidden="false" customHeight="false" outlineLevel="0" collapsed="false">
      <c r="A21" s="12" t="s">
        <v>169</v>
      </c>
      <c r="B21" s="13" t="s">
        <v>937</v>
      </c>
      <c r="C21" s="13" t="s">
        <v>342</v>
      </c>
      <c r="D21" s="13" t="s">
        <v>938</v>
      </c>
      <c r="E21" s="13" t="s">
        <v>886</v>
      </c>
      <c r="F21" s="13" t="s">
        <v>167</v>
      </c>
      <c r="G21" s="13" t="s">
        <v>939</v>
      </c>
    </row>
    <row r="22" customFormat="false" ht="15" hidden="false" customHeight="false" outlineLevel="0" collapsed="false">
      <c r="A22" s="12" t="s">
        <v>173</v>
      </c>
      <c r="B22" s="13" t="s">
        <v>940</v>
      </c>
      <c r="C22" s="13" t="s">
        <v>897</v>
      </c>
      <c r="D22" s="13" t="s">
        <v>941</v>
      </c>
      <c r="E22" s="13" t="s">
        <v>886</v>
      </c>
      <c r="F22" s="13" t="s">
        <v>171</v>
      </c>
      <c r="G22" s="13" t="s">
        <v>942</v>
      </c>
    </row>
    <row r="23" customFormat="false" ht="23.85" hidden="false" customHeight="false" outlineLevel="0" collapsed="false">
      <c r="A23" s="12" t="s">
        <v>142</v>
      </c>
      <c r="B23" s="13" t="s">
        <v>943</v>
      </c>
      <c r="C23" s="13" t="s">
        <v>342</v>
      </c>
      <c r="D23" s="13" t="s">
        <v>890</v>
      </c>
      <c r="E23" s="13" t="s">
        <v>944</v>
      </c>
      <c r="F23" s="13" t="s">
        <v>945</v>
      </c>
      <c r="G23" s="13" t="s">
        <v>946</v>
      </c>
    </row>
    <row r="24" customFormat="false" ht="23.85" hidden="false" customHeight="false" outlineLevel="0" collapsed="false">
      <c r="A24" s="12" t="s">
        <v>160</v>
      </c>
      <c r="B24" s="13" t="s">
        <v>947</v>
      </c>
      <c r="C24" s="13" t="s">
        <v>342</v>
      </c>
      <c r="D24" s="13" t="s">
        <v>890</v>
      </c>
      <c r="E24" s="13" t="s">
        <v>65</v>
      </c>
      <c r="F24" s="13" t="s">
        <v>948</v>
      </c>
      <c r="G24" s="13" t="s">
        <v>949</v>
      </c>
    </row>
    <row r="25" customFormat="false" ht="23.85" hidden="false" customHeight="false" outlineLevel="0" collapsed="false">
      <c r="A25" s="12" t="s">
        <v>231</v>
      </c>
      <c r="B25" s="13" t="s">
        <v>950</v>
      </c>
      <c r="C25" s="13" t="s">
        <v>342</v>
      </c>
      <c r="D25" s="13" t="s">
        <v>910</v>
      </c>
      <c r="E25" s="13" t="s">
        <v>911</v>
      </c>
      <c r="F25" s="13" t="s">
        <v>951</v>
      </c>
      <c r="G25" s="13" t="s">
        <v>952</v>
      </c>
    </row>
    <row r="26" customFormat="false" ht="15" hidden="false" customHeight="false" outlineLevel="0" collapsed="false">
      <c r="A26" s="12" t="s">
        <v>953</v>
      </c>
      <c r="B26" s="13" t="s">
        <v>954</v>
      </c>
      <c r="C26" s="13" t="s">
        <v>342</v>
      </c>
      <c r="D26" s="13" t="s">
        <v>910</v>
      </c>
      <c r="E26" s="13" t="s">
        <v>65</v>
      </c>
      <c r="F26" s="13" t="s">
        <v>955</v>
      </c>
      <c r="G26" s="13" t="s">
        <v>956</v>
      </c>
    </row>
    <row r="27" customFormat="false" ht="15" hidden="false" customHeight="false" outlineLevel="0" collapsed="false">
      <c r="A27" s="12" t="s">
        <v>957</v>
      </c>
      <c r="B27" s="13" t="s">
        <v>958</v>
      </c>
      <c r="C27" s="13" t="s">
        <v>342</v>
      </c>
      <c r="D27" s="13" t="s">
        <v>890</v>
      </c>
      <c r="E27" s="13" t="s">
        <v>959</v>
      </c>
      <c r="F27" s="13" t="s">
        <v>960</v>
      </c>
      <c r="G27" s="13" t="s">
        <v>961</v>
      </c>
    </row>
    <row r="28" customFormat="false" ht="15" hidden="false" customHeight="false" outlineLevel="0" collapsed="false">
      <c r="A28" s="12" t="s">
        <v>962</v>
      </c>
      <c r="B28" s="13" t="s">
        <v>963</v>
      </c>
      <c r="C28" s="13" t="s">
        <v>342</v>
      </c>
      <c r="D28" s="13" t="s">
        <v>964</v>
      </c>
      <c r="E28" s="13" t="s">
        <v>65</v>
      </c>
      <c r="F28" s="13" t="s">
        <v>526</v>
      </c>
      <c r="G28" s="13" t="s">
        <v>965</v>
      </c>
    </row>
    <row r="29" customFormat="false" ht="15" hidden="false" customHeight="false" outlineLevel="0" collapsed="false">
      <c r="A29" s="12" t="s">
        <v>201</v>
      </c>
      <c r="B29" s="13" t="s">
        <v>966</v>
      </c>
      <c r="C29" s="13" t="s">
        <v>342</v>
      </c>
      <c r="D29" s="13" t="s">
        <v>890</v>
      </c>
      <c r="E29" s="13" t="s">
        <v>65</v>
      </c>
      <c r="F29" s="13" t="s">
        <v>531</v>
      </c>
      <c r="G29" s="13" t="s">
        <v>967</v>
      </c>
    </row>
    <row r="30" customFormat="false" ht="15" hidden="false" customHeight="false" outlineLevel="0" collapsed="false">
      <c r="A30" s="12" t="s">
        <v>968</v>
      </c>
      <c r="B30" s="13" t="s">
        <v>969</v>
      </c>
      <c r="C30" s="13" t="s">
        <v>342</v>
      </c>
      <c r="D30" s="13" t="s">
        <v>890</v>
      </c>
      <c r="E30" s="13" t="s">
        <v>65</v>
      </c>
      <c r="F30" s="13" t="s">
        <v>536</v>
      </c>
      <c r="G30" s="13" t="s">
        <v>970</v>
      </c>
    </row>
    <row r="31" customFormat="false" ht="15" hidden="false" customHeight="false" outlineLevel="0" collapsed="false">
      <c r="A31" s="12" t="s">
        <v>206</v>
      </c>
      <c r="B31" s="13" t="s">
        <v>971</v>
      </c>
      <c r="C31" s="13" t="s">
        <v>342</v>
      </c>
      <c r="D31" s="13" t="s">
        <v>890</v>
      </c>
      <c r="E31" s="13" t="s">
        <v>972</v>
      </c>
      <c r="F31" s="13" t="s">
        <v>542</v>
      </c>
      <c r="G31" s="13" t="s">
        <v>973</v>
      </c>
    </row>
    <row r="32" customFormat="false" ht="23.85" hidden="false" customHeight="false" outlineLevel="0" collapsed="false">
      <c r="A32" s="12" t="s">
        <v>974</v>
      </c>
      <c r="B32" s="13" t="s">
        <v>975</v>
      </c>
      <c r="C32" s="13" t="s">
        <v>342</v>
      </c>
      <c r="D32" s="13" t="s">
        <v>890</v>
      </c>
      <c r="E32" s="13" t="s">
        <v>65</v>
      </c>
      <c r="F32" s="13" t="s">
        <v>976</v>
      </c>
      <c r="G32" s="13" t="s">
        <v>977</v>
      </c>
    </row>
    <row r="33" customFormat="false" ht="15" hidden="false" customHeight="false" outlineLevel="0" collapsed="false">
      <c r="A33" s="12" t="s">
        <v>978</v>
      </c>
      <c r="B33" s="13" t="s">
        <v>979</v>
      </c>
      <c r="C33" s="13" t="s">
        <v>342</v>
      </c>
      <c r="D33" s="13" t="s">
        <v>890</v>
      </c>
      <c r="E33" s="13" t="s">
        <v>65</v>
      </c>
      <c r="F33" s="13" t="s">
        <v>980</v>
      </c>
      <c r="G33" s="13" t="s">
        <v>981</v>
      </c>
    </row>
    <row r="34" customFormat="false" ht="15" hidden="false" customHeight="false" outlineLevel="0" collapsed="false">
      <c r="A34" s="12" t="s">
        <v>982</v>
      </c>
      <c r="B34" s="13" t="s">
        <v>983</v>
      </c>
      <c r="C34" s="13" t="s">
        <v>342</v>
      </c>
      <c r="D34" s="13" t="s">
        <v>890</v>
      </c>
      <c r="E34" s="13" t="s">
        <v>65</v>
      </c>
      <c r="F34" s="13" t="s">
        <v>577</v>
      </c>
      <c r="G34" s="13" t="s">
        <v>984</v>
      </c>
    </row>
    <row r="35" customFormat="false" ht="23.85" hidden="false" customHeight="false" outlineLevel="0" collapsed="false">
      <c r="A35" s="12" t="s">
        <v>985</v>
      </c>
      <c r="B35" s="13" t="s">
        <v>986</v>
      </c>
      <c r="C35" s="13" t="s">
        <v>342</v>
      </c>
      <c r="D35" s="13" t="s">
        <v>890</v>
      </c>
      <c r="E35" s="13" t="s">
        <v>65</v>
      </c>
      <c r="F35" s="13" t="s">
        <v>987</v>
      </c>
      <c r="G35" s="13" t="s">
        <v>988</v>
      </c>
    </row>
    <row r="36" customFormat="false" ht="15" hidden="false" customHeight="false" outlineLevel="0" collapsed="false">
      <c r="A36" s="12" t="s">
        <v>989</v>
      </c>
      <c r="B36" s="13" t="s">
        <v>990</v>
      </c>
      <c r="C36" s="13" t="s">
        <v>342</v>
      </c>
      <c r="D36" s="13" t="s">
        <v>890</v>
      </c>
      <c r="E36" s="13" t="s">
        <v>972</v>
      </c>
      <c r="F36" s="13" t="s">
        <v>991</v>
      </c>
      <c r="G36" s="13" t="s">
        <v>992</v>
      </c>
    </row>
    <row r="37" customFormat="false" ht="15" hidden="false" customHeight="false" outlineLevel="0" collapsed="false">
      <c r="A37" s="12" t="s">
        <v>993</v>
      </c>
      <c r="B37" s="13" t="s">
        <v>994</v>
      </c>
      <c r="C37" s="13" t="s">
        <v>995</v>
      </c>
      <c r="D37" s="13" t="s">
        <v>996</v>
      </c>
      <c r="E37" s="13" t="s">
        <v>886</v>
      </c>
      <c r="F37" s="13" t="s">
        <v>997</v>
      </c>
      <c r="G37" s="13" t="s">
        <v>998</v>
      </c>
    </row>
    <row r="38" customFormat="false" ht="15" hidden="false" customHeight="false" outlineLevel="0" collapsed="false">
      <c r="A38" s="12" t="s">
        <v>216</v>
      </c>
      <c r="B38" s="13" t="s">
        <v>999</v>
      </c>
      <c r="C38" s="13" t="s">
        <v>342</v>
      </c>
      <c r="D38" s="13" t="s">
        <v>890</v>
      </c>
      <c r="E38" s="13" t="s">
        <v>886</v>
      </c>
      <c r="F38" s="13" t="s">
        <v>717</v>
      </c>
      <c r="G38" s="13" t="s">
        <v>1000</v>
      </c>
    </row>
    <row r="39" customFormat="false" ht="15" hidden="false" customHeight="false" outlineLevel="0" collapsed="false">
      <c r="A39" s="12" t="s">
        <v>236</v>
      </c>
      <c r="B39" s="13" t="s">
        <v>1001</v>
      </c>
      <c r="C39" s="13" t="s">
        <v>342</v>
      </c>
      <c r="D39" s="13" t="s">
        <v>890</v>
      </c>
      <c r="E39" s="13" t="s">
        <v>886</v>
      </c>
      <c r="F39" s="13" t="s">
        <v>723</v>
      </c>
      <c r="G39" s="13" t="s">
        <v>1002</v>
      </c>
    </row>
    <row r="40" customFormat="false" ht="15" hidden="false" customHeight="false" outlineLevel="0" collapsed="false">
      <c r="A40" s="12" t="s">
        <v>1003</v>
      </c>
      <c r="B40" s="13" t="s">
        <v>1004</v>
      </c>
      <c r="C40" s="13" t="s">
        <v>342</v>
      </c>
      <c r="D40" s="13" t="s">
        <v>890</v>
      </c>
      <c r="E40" s="13" t="s">
        <v>886</v>
      </c>
      <c r="F40" s="13" t="s">
        <v>730</v>
      </c>
      <c r="G40" s="13" t="s">
        <v>1005</v>
      </c>
    </row>
    <row r="41" customFormat="false" ht="15" hidden="false" customHeight="false" outlineLevel="0" collapsed="false">
      <c r="A41" s="12" t="s">
        <v>221</v>
      </c>
      <c r="B41" s="13" t="s">
        <v>1006</v>
      </c>
      <c r="C41" s="13" t="s">
        <v>342</v>
      </c>
      <c r="D41" s="13" t="s">
        <v>890</v>
      </c>
      <c r="E41" s="13" t="s">
        <v>65</v>
      </c>
      <c r="F41" s="13" t="s">
        <v>1007</v>
      </c>
      <c r="G41" s="13" t="s">
        <v>1008</v>
      </c>
    </row>
    <row r="42" customFormat="false" ht="15" hidden="false" customHeight="false" outlineLevel="0" collapsed="false">
      <c r="A42" s="12" t="s">
        <v>226</v>
      </c>
      <c r="B42" s="13" t="s">
        <v>1009</v>
      </c>
      <c r="C42" s="13" t="s">
        <v>342</v>
      </c>
      <c r="D42" s="13" t="s">
        <v>890</v>
      </c>
      <c r="E42" s="13" t="s">
        <v>65</v>
      </c>
      <c r="F42" s="13" t="s">
        <v>1010</v>
      </c>
      <c r="G42" s="13" t="s">
        <v>1011</v>
      </c>
    </row>
    <row r="43" customFormat="false" ht="15" hidden="false" customHeight="false" outlineLevel="0" collapsed="false">
      <c r="A43" s="12" t="s">
        <v>1012</v>
      </c>
      <c r="B43" s="13" t="s">
        <v>1013</v>
      </c>
      <c r="C43" s="13" t="s">
        <v>342</v>
      </c>
      <c r="D43" s="13" t="s">
        <v>890</v>
      </c>
      <c r="E43" s="13" t="s">
        <v>65</v>
      </c>
      <c r="F43" s="13" t="s">
        <v>756</v>
      </c>
      <c r="G43" s="13" t="s">
        <v>1014</v>
      </c>
    </row>
    <row r="44" customFormat="false" ht="23.85" hidden="false" customHeight="false" outlineLevel="0" collapsed="false">
      <c r="A44" s="12" t="s">
        <v>211</v>
      </c>
      <c r="B44" s="13" t="s">
        <v>1015</v>
      </c>
      <c r="C44" s="13" t="s">
        <v>342</v>
      </c>
      <c r="D44" s="13" t="s">
        <v>910</v>
      </c>
      <c r="E44" s="13" t="s">
        <v>1016</v>
      </c>
      <c r="F44" s="13" t="s">
        <v>1017</v>
      </c>
      <c r="G44" s="13" t="s">
        <v>1018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0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6" t="s">
        <v>1019</v>
      </c>
    </row>
    <row r="3" customFormat="false" ht="15" hidden="false" customHeight="false" outlineLevel="0" collapsed="false">
      <c r="A3" s="8" t="s">
        <v>426</v>
      </c>
      <c r="B3" s="8" t="s">
        <v>335</v>
      </c>
      <c r="C3" s="8" t="s">
        <v>259</v>
      </c>
      <c r="D3" s="8" t="s">
        <v>337</v>
      </c>
      <c r="E3" s="8" t="s">
        <v>431</v>
      </c>
    </row>
    <row r="4" customFormat="false" ht="15" hidden="false" customHeight="false" outlineLevel="0" collapsed="false">
      <c r="A4" s="12" t="s">
        <v>1020</v>
      </c>
      <c r="B4" s="13" t="s">
        <v>1021</v>
      </c>
      <c r="C4" s="13" t="s">
        <v>275</v>
      </c>
      <c r="D4" s="14" t="s">
        <v>1022</v>
      </c>
      <c r="E4" s="13" t="s">
        <v>179</v>
      </c>
    </row>
    <row r="5" customFormat="false" ht="15" hidden="false" customHeight="false" outlineLevel="0" collapsed="false">
      <c r="A5" s="12" t="s">
        <v>1023</v>
      </c>
      <c r="B5" s="13" t="s">
        <v>1024</v>
      </c>
      <c r="C5" s="13" t="s">
        <v>264</v>
      </c>
      <c r="D5" s="14" t="s">
        <v>1025</v>
      </c>
      <c r="E5" s="13" t="s">
        <v>1026</v>
      </c>
    </row>
    <row r="6" customFormat="false" ht="15" hidden="false" customHeight="false" outlineLevel="0" collapsed="false">
      <c r="A6" s="12" t="s">
        <v>1027</v>
      </c>
      <c r="B6" s="13" t="s">
        <v>1028</v>
      </c>
      <c r="C6" s="13" t="s">
        <v>1029</v>
      </c>
      <c r="D6" s="14" t="s">
        <v>1030</v>
      </c>
      <c r="E6" s="13" t="s">
        <v>183</v>
      </c>
    </row>
    <row r="7" customFormat="false" ht="15" hidden="false" customHeight="false" outlineLevel="0" collapsed="false">
      <c r="A7" s="12" t="s">
        <v>1031</v>
      </c>
      <c r="B7" s="13" t="s">
        <v>1032</v>
      </c>
      <c r="C7" s="13" t="s">
        <v>264</v>
      </c>
      <c r="D7" s="14" t="s">
        <v>1033</v>
      </c>
      <c r="E7" s="13" t="s">
        <v>658</v>
      </c>
    </row>
    <row r="8" customFormat="false" ht="15" hidden="false" customHeight="false" outlineLevel="0" collapsed="false">
      <c r="A8" s="12" t="s">
        <v>1034</v>
      </c>
      <c r="B8" s="13" t="s">
        <v>1035</v>
      </c>
      <c r="C8" s="13" t="s">
        <v>275</v>
      </c>
      <c r="D8" s="14" t="s">
        <v>1036</v>
      </c>
      <c r="E8" s="13" t="s">
        <v>116</v>
      </c>
    </row>
    <row r="9" customFormat="false" ht="15" hidden="false" customHeight="false" outlineLevel="0" collapsed="false">
      <c r="A9" s="12" t="s">
        <v>1037</v>
      </c>
      <c r="B9" s="13" t="s">
        <v>1038</v>
      </c>
      <c r="C9" s="13" t="s">
        <v>264</v>
      </c>
      <c r="D9" s="14" t="s">
        <v>1039</v>
      </c>
      <c r="E9" s="13" t="s">
        <v>260</v>
      </c>
    </row>
    <row r="10" customFormat="false" ht="15" hidden="false" customHeight="false" outlineLevel="0" collapsed="false">
      <c r="A10" s="12" t="s">
        <v>1040</v>
      </c>
      <c r="B10" s="13" t="s">
        <v>1041</v>
      </c>
      <c r="C10" s="13" t="s">
        <v>1042</v>
      </c>
      <c r="D10" s="14" t="s">
        <v>1039</v>
      </c>
      <c r="E10" s="13" t="s">
        <v>1043</v>
      </c>
    </row>
    <row r="11" customFormat="false" ht="15" hidden="false" customHeight="false" outlineLevel="0" collapsed="false">
      <c r="A11" s="12" t="s">
        <v>1044</v>
      </c>
      <c r="B11" s="13" t="s">
        <v>1045</v>
      </c>
      <c r="C11" s="13" t="s">
        <v>1042</v>
      </c>
      <c r="D11" s="14" t="s">
        <v>59</v>
      </c>
      <c r="E11" s="13" t="s">
        <v>1043</v>
      </c>
    </row>
    <row r="12" customFormat="false" ht="15" hidden="false" customHeight="false" outlineLevel="0" collapsed="false">
      <c r="A12" s="12" t="s">
        <v>1046</v>
      </c>
      <c r="B12" s="13" t="s">
        <v>1047</v>
      </c>
      <c r="C12" s="13" t="s">
        <v>294</v>
      </c>
      <c r="D12" s="14" t="s">
        <v>71</v>
      </c>
      <c r="E12" s="13" t="s">
        <v>1048</v>
      </c>
    </row>
    <row r="13" customFormat="false" ht="23.85" hidden="false" customHeight="false" outlineLevel="0" collapsed="false">
      <c r="A13" s="12" t="s">
        <v>1049</v>
      </c>
      <c r="B13" s="13" t="s">
        <v>1050</v>
      </c>
      <c r="C13" s="13" t="s">
        <v>294</v>
      </c>
      <c r="D13" s="14" t="s">
        <v>1051</v>
      </c>
      <c r="E13" s="13" t="s">
        <v>96</v>
      </c>
    </row>
    <row r="14" customFormat="false" ht="15" hidden="false" customHeight="false" outlineLevel="0" collapsed="false">
      <c r="A14" s="12" t="s">
        <v>1052</v>
      </c>
      <c r="B14" s="13" t="s">
        <v>1053</v>
      </c>
      <c r="C14" s="13" t="s">
        <v>272</v>
      </c>
      <c r="D14" s="14" t="s">
        <v>59</v>
      </c>
      <c r="E14" s="13" t="s">
        <v>214</v>
      </c>
    </row>
    <row r="15" customFormat="false" ht="15" hidden="false" customHeight="false" outlineLevel="0" collapsed="false">
      <c r="A15" s="12" t="s">
        <v>1054</v>
      </c>
      <c r="B15" s="13" t="s">
        <v>1055</v>
      </c>
      <c r="C15" s="13" t="s">
        <v>318</v>
      </c>
      <c r="D15" s="14" t="s">
        <v>1030</v>
      </c>
      <c r="E15" s="13" t="s">
        <v>283</v>
      </c>
    </row>
    <row r="16" customFormat="false" ht="15" hidden="false" customHeight="false" outlineLevel="0" collapsed="false">
      <c r="A16" s="12" t="s">
        <v>1056</v>
      </c>
      <c r="B16" s="13" t="s">
        <v>1057</v>
      </c>
      <c r="C16" s="13" t="s">
        <v>272</v>
      </c>
      <c r="D16" s="14" t="s">
        <v>1025</v>
      </c>
      <c r="E16" s="13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0"/>
    <col collapsed="false" customWidth="true" hidden="false" outlineLevel="0" max="3" min="3" style="0" width="66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6" t="s">
        <v>1058</v>
      </c>
    </row>
    <row r="3" customFormat="false" ht="15" hidden="false" customHeight="false" outlineLevel="0" collapsed="false">
      <c r="A3" s="8" t="s">
        <v>426</v>
      </c>
      <c r="B3" s="8" t="s">
        <v>1059</v>
      </c>
      <c r="C3" s="8" t="s">
        <v>1060</v>
      </c>
      <c r="D3" s="8" t="s">
        <v>1061</v>
      </c>
    </row>
    <row r="4" customFormat="false" ht="15" hidden="false" customHeight="false" outlineLevel="0" collapsed="false">
      <c r="A4" s="12" t="s">
        <v>1062</v>
      </c>
      <c r="B4" s="13" t="s">
        <v>1063</v>
      </c>
      <c r="C4" s="13" t="s">
        <v>1064</v>
      </c>
      <c r="D4" s="13" t="s">
        <v>55</v>
      </c>
    </row>
    <row r="5" customFormat="false" ht="15" hidden="false" customHeight="false" outlineLevel="0" collapsed="false">
      <c r="A5" s="12" t="s">
        <v>1065</v>
      </c>
      <c r="B5" s="13" t="s">
        <v>1066</v>
      </c>
      <c r="C5" s="13" t="s">
        <v>1067</v>
      </c>
      <c r="D5" s="13" t="s">
        <v>55</v>
      </c>
    </row>
    <row r="6" customFormat="false" ht="15" hidden="false" customHeight="false" outlineLevel="0" collapsed="false">
      <c r="A6" s="12" t="s">
        <v>1068</v>
      </c>
      <c r="B6" s="13" t="s">
        <v>1069</v>
      </c>
      <c r="C6" s="13" t="s">
        <v>1070</v>
      </c>
      <c r="D6" s="13" t="s">
        <v>1071</v>
      </c>
    </row>
    <row r="7" customFormat="false" ht="15" hidden="false" customHeight="false" outlineLevel="0" collapsed="false">
      <c r="A7" s="12" t="s">
        <v>1072</v>
      </c>
      <c r="B7" s="13" t="s">
        <v>1073</v>
      </c>
      <c r="C7" s="13" t="s">
        <v>1074</v>
      </c>
      <c r="D7" s="13" t="s">
        <v>55</v>
      </c>
    </row>
    <row r="8" customFormat="false" ht="15" hidden="false" customHeight="false" outlineLevel="0" collapsed="false">
      <c r="A8" s="12" t="s">
        <v>1075</v>
      </c>
      <c r="B8" s="13" t="s">
        <v>1076</v>
      </c>
      <c r="C8" s="13" t="s">
        <v>1077</v>
      </c>
      <c r="D8" s="13" t="s">
        <v>55</v>
      </c>
    </row>
    <row r="9" customFormat="false" ht="15" hidden="false" customHeight="false" outlineLevel="0" collapsed="false">
      <c r="A9" s="12" t="s">
        <v>1078</v>
      </c>
      <c r="B9" s="13" t="s">
        <v>1079</v>
      </c>
      <c r="C9" s="13" t="s">
        <v>1080</v>
      </c>
      <c r="D9" s="13" t="s">
        <v>1081</v>
      </c>
    </row>
    <row r="10" customFormat="false" ht="15" hidden="false" customHeight="false" outlineLevel="0" collapsed="false">
      <c r="A10" s="12" t="s">
        <v>1082</v>
      </c>
      <c r="B10" s="13" t="s">
        <v>1083</v>
      </c>
      <c r="C10" s="13" t="s">
        <v>1084</v>
      </c>
      <c r="D10" s="13" t="s">
        <v>55</v>
      </c>
    </row>
    <row r="11" customFormat="false" ht="15" hidden="false" customHeight="false" outlineLevel="0" collapsed="false">
      <c r="A11" s="12" t="s">
        <v>1085</v>
      </c>
      <c r="B11" s="13" t="s">
        <v>1086</v>
      </c>
      <c r="C11" s="13" t="s">
        <v>1087</v>
      </c>
      <c r="D11" s="13" t="s">
        <v>1088</v>
      </c>
    </row>
    <row r="12" customFormat="false" ht="15" hidden="false" customHeight="false" outlineLevel="0" collapsed="false">
      <c r="A12" s="12" t="s">
        <v>1089</v>
      </c>
      <c r="B12" s="13" t="s">
        <v>1090</v>
      </c>
      <c r="C12" s="13" t="s">
        <v>1091</v>
      </c>
      <c r="D12" s="13" t="s">
        <v>55</v>
      </c>
    </row>
    <row r="13" customFormat="false" ht="15" hidden="false" customHeight="false" outlineLevel="0" collapsed="false">
      <c r="A13" s="12" t="s">
        <v>241</v>
      </c>
      <c r="B13" s="13" t="s">
        <v>1092</v>
      </c>
      <c r="C13" s="13" t="s">
        <v>1093</v>
      </c>
      <c r="D13" s="13" t="s">
        <v>1094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6" t="s">
        <v>1095</v>
      </c>
    </row>
    <row r="3" customFormat="false" ht="15" hidden="false" customHeight="false" outlineLevel="0" collapsed="false">
      <c r="A3" s="8" t="s">
        <v>1096</v>
      </c>
      <c r="B3" s="8" t="s">
        <v>1097</v>
      </c>
    </row>
    <row r="4" customFormat="false" ht="15" hidden="false" customHeight="false" outlineLevel="0" collapsed="false">
      <c r="A4" s="13" t="s">
        <v>1098</v>
      </c>
      <c r="B4" s="13" t="s">
        <v>1099</v>
      </c>
    </row>
    <row r="5" customFormat="false" ht="15" hidden="false" customHeight="false" outlineLevel="0" collapsed="false">
      <c r="A5" s="13" t="s">
        <v>1100</v>
      </c>
      <c r="B5" s="13" t="s">
        <v>1101</v>
      </c>
    </row>
    <row r="6" customFormat="false" ht="15" hidden="false" customHeight="false" outlineLevel="0" collapsed="false">
      <c r="A6" s="13" t="s">
        <v>1102</v>
      </c>
      <c r="B6" s="13" t="s">
        <v>1103</v>
      </c>
    </row>
    <row r="7" customFormat="false" ht="15" hidden="false" customHeight="false" outlineLevel="0" collapsed="false">
      <c r="A7" s="13" t="s">
        <v>1104</v>
      </c>
      <c r="B7" s="13" t="s">
        <v>1105</v>
      </c>
    </row>
    <row r="8" customFormat="false" ht="15" hidden="false" customHeight="false" outlineLevel="0" collapsed="false">
      <c r="A8" s="13" t="s">
        <v>1106</v>
      </c>
      <c r="B8" s="13" t="s">
        <v>1107</v>
      </c>
    </row>
    <row r="9" customFormat="false" ht="15" hidden="false" customHeight="false" outlineLevel="0" collapsed="false">
      <c r="A9" s="13" t="s">
        <v>1108</v>
      </c>
      <c r="B9" s="13" t="s">
        <v>1109</v>
      </c>
    </row>
    <row r="10" customFormat="false" ht="15" hidden="false" customHeight="false" outlineLevel="0" collapsed="false">
      <c r="A10" s="13" t="s">
        <v>1110</v>
      </c>
      <c r="B10" s="13" t="s">
        <v>1111</v>
      </c>
    </row>
    <row r="11" customFormat="false" ht="15" hidden="false" customHeight="false" outlineLevel="0" collapsed="false">
      <c r="A11" s="13" t="s">
        <v>1112</v>
      </c>
      <c r="B11" s="13" t="s">
        <v>1113</v>
      </c>
    </row>
    <row r="12" customFormat="false" ht="15" hidden="false" customHeight="false" outlineLevel="0" collapsed="false">
      <c r="A12" s="13" t="s">
        <v>1114</v>
      </c>
      <c r="B12" s="13" t="s">
        <v>1115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0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34"/>
    <col collapsed="false" customWidth="true" hidden="false" outlineLevel="0" max="8" min="7" style="0" width="18"/>
    <col collapsed="false" customWidth="true" hidden="false" outlineLevel="0" max="9" min="9" style="0" width="28"/>
    <col collapsed="false" customWidth="true" hidden="false" outlineLevel="0" max="10" min="10" style="0" width="22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6" t="s">
        <v>1116</v>
      </c>
    </row>
    <row r="3" customFormat="false" ht="15" hidden="false" customHeight="false" outlineLevel="0" collapsed="false">
      <c r="A3" s="8" t="s">
        <v>1117</v>
      </c>
      <c r="B3" s="8" t="s">
        <v>427</v>
      </c>
      <c r="C3" s="8" t="s">
        <v>1118</v>
      </c>
      <c r="D3" s="8" t="s">
        <v>1119</v>
      </c>
      <c r="E3" s="8" t="s">
        <v>1120</v>
      </c>
      <c r="F3" s="8" t="s">
        <v>26</v>
      </c>
      <c r="G3" s="8" t="s">
        <v>1121</v>
      </c>
      <c r="H3" s="8" t="s">
        <v>1122</v>
      </c>
      <c r="I3" s="8" t="s">
        <v>1123</v>
      </c>
      <c r="J3" s="8" t="s">
        <v>1124</v>
      </c>
      <c r="K3" s="8" t="s">
        <v>1125</v>
      </c>
    </row>
    <row r="4" customFormat="false" ht="35.05" hidden="false" customHeight="false" outlineLevel="0" collapsed="false">
      <c r="A4" s="12" t="s">
        <v>517</v>
      </c>
      <c r="B4" s="12" t="s">
        <v>1126</v>
      </c>
      <c r="C4" s="13" t="s">
        <v>1127</v>
      </c>
      <c r="D4" s="13" t="s">
        <v>1128</v>
      </c>
      <c r="E4" s="13" t="s">
        <v>1129</v>
      </c>
      <c r="F4" s="13" t="s">
        <v>1130</v>
      </c>
      <c r="G4" s="13" t="s">
        <v>1131</v>
      </c>
      <c r="H4" s="13" t="s">
        <v>1132</v>
      </c>
      <c r="I4" s="13" t="s">
        <v>1133</v>
      </c>
      <c r="J4" s="13" t="s">
        <v>1134</v>
      </c>
      <c r="K4" s="13" t="s">
        <v>1135</v>
      </c>
    </row>
    <row r="5" customFormat="false" ht="46.25" hidden="false" customHeight="false" outlineLevel="0" collapsed="false">
      <c r="A5" s="12" t="s">
        <v>553</v>
      </c>
      <c r="B5" s="12" t="s">
        <v>1136</v>
      </c>
      <c r="C5" s="13" t="s">
        <v>1137</v>
      </c>
      <c r="D5" s="13" t="s">
        <v>1138</v>
      </c>
      <c r="E5" s="13" t="s">
        <v>1139</v>
      </c>
      <c r="F5" s="13" t="s">
        <v>1140</v>
      </c>
      <c r="G5" s="13" t="s">
        <v>1141</v>
      </c>
      <c r="H5" s="13" t="s">
        <v>1142</v>
      </c>
      <c r="I5" s="13" t="s">
        <v>1143</v>
      </c>
      <c r="J5" s="13"/>
      <c r="K5" s="13" t="s">
        <v>1135</v>
      </c>
    </row>
    <row r="6" customFormat="false" ht="35.05" hidden="false" customHeight="false" outlineLevel="0" collapsed="false">
      <c r="A6" s="12" t="s">
        <v>488</v>
      </c>
      <c r="B6" s="12" t="s">
        <v>1144</v>
      </c>
      <c r="C6" s="13" t="s">
        <v>1145</v>
      </c>
      <c r="D6" s="13" t="s">
        <v>1146</v>
      </c>
      <c r="E6" s="13" t="s">
        <v>1147</v>
      </c>
      <c r="F6" s="13" t="s">
        <v>1148</v>
      </c>
      <c r="G6" s="13" t="s">
        <v>1141</v>
      </c>
      <c r="H6" s="13" t="s">
        <v>1149</v>
      </c>
      <c r="I6" s="13" t="s">
        <v>1150</v>
      </c>
      <c r="J6" s="13"/>
      <c r="K6" s="13" t="s">
        <v>1135</v>
      </c>
    </row>
    <row r="7" customFormat="false" ht="23.85" hidden="false" customHeight="false" outlineLevel="0" collapsed="false">
      <c r="A7" s="12" t="s">
        <v>495</v>
      </c>
      <c r="B7" s="12" t="s">
        <v>1151</v>
      </c>
      <c r="C7" s="13" t="s">
        <v>1152</v>
      </c>
      <c r="D7" s="13" t="s">
        <v>1153</v>
      </c>
      <c r="E7" s="13" t="s">
        <v>1154</v>
      </c>
      <c r="F7" s="13" t="s">
        <v>1155</v>
      </c>
      <c r="G7" s="13" t="s">
        <v>1141</v>
      </c>
      <c r="H7" s="13" t="s">
        <v>1142</v>
      </c>
      <c r="I7" s="13" t="s">
        <v>1156</v>
      </c>
      <c r="J7" s="13"/>
      <c r="K7" s="13" t="s">
        <v>1135</v>
      </c>
    </row>
    <row r="8" customFormat="false" ht="23.85" hidden="false" customHeight="false" outlineLevel="0" collapsed="false">
      <c r="A8" s="12" t="s">
        <v>726</v>
      </c>
      <c r="B8" s="12" t="s">
        <v>1157</v>
      </c>
      <c r="C8" s="13" t="s">
        <v>1158</v>
      </c>
      <c r="D8" s="13" t="s">
        <v>1159</v>
      </c>
      <c r="E8" s="13" t="s">
        <v>1160</v>
      </c>
      <c r="F8" s="13" t="s">
        <v>1161</v>
      </c>
      <c r="G8" s="13" t="s">
        <v>1162</v>
      </c>
      <c r="H8" s="13" t="s">
        <v>1163</v>
      </c>
      <c r="I8" s="13" t="s">
        <v>1164</v>
      </c>
      <c r="J8" s="13" t="s">
        <v>1165</v>
      </c>
      <c r="K8" s="13" t="s">
        <v>1135</v>
      </c>
    </row>
    <row r="10" customFormat="false" ht="15" hidden="false" customHeight="false" outlineLevel="0" collapsed="false">
      <c r="A10" s="11" t="s">
        <v>1166</v>
      </c>
    </row>
    <row r="11" customFormat="false" ht="15" hidden="false" customHeight="false" outlineLevel="0" collapsed="false">
      <c r="A11" s="8" t="s">
        <v>1117</v>
      </c>
      <c r="B11" s="8"/>
      <c r="C11" s="8" t="s">
        <v>1167</v>
      </c>
    </row>
    <row r="12" customFormat="false" ht="15" hidden="false" customHeight="false" outlineLevel="0" collapsed="false">
      <c r="A12" s="5" t="s">
        <v>454</v>
      </c>
      <c r="C12" s="3" t="s">
        <v>1168</v>
      </c>
    </row>
    <row r="13" customFormat="false" ht="15" hidden="false" customHeight="false" outlineLevel="0" collapsed="false">
      <c r="A13" s="5" t="s">
        <v>442</v>
      </c>
      <c r="C13" s="3" t="s">
        <v>1169</v>
      </c>
    </row>
    <row r="14" customFormat="false" ht="15" hidden="false" customHeight="false" outlineLevel="0" collapsed="false">
      <c r="A14" s="5" t="s">
        <v>475</v>
      </c>
      <c r="C14" s="3" t="s">
        <v>1170</v>
      </c>
    </row>
    <row r="15" customFormat="false" ht="15" hidden="false" customHeight="false" outlineLevel="0" collapsed="false">
      <c r="A15" s="5" t="s">
        <v>511</v>
      </c>
      <c r="C15" s="3" t="s">
        <v>509</v>
      </c>
    </row>
    <row r="16" customFormat="false" ht="15" hidden="false" customHeight="false" outlineLevel="0" collapsed="false">
      <c r="A16" s="5" t="s">
        <v>482</v>
      </c>
      <c r="C16" s="3" t="s">
        <v>1171</v>
      </c>
    </row>
    <row r="17" customFormat="false" ht="15" hidden="false" customHeight="false" outlineLevel="0" collapsed="false">
      <c r="A17" s="5" t="s">
        <v>650</v>
      </c>
      <c r="C17" s="3" t="s">
        <v>1172</v>
      </c>
    </row>
    <row r="18" customFormat="false" ht="15" hidden="false" customHeight="false" outlineLevel="0" collapsed="false">
      <c r="A18" s="5" t="s">
        <v>588</v>
      </c>
      <c r="C18" s="3" t="s">
        <v>1173</v>
      </c>
    </row>
    <row r="19" customFormat="false" ht="15" hidden="false" customHeight="false" outlineLevel="0" collapsed="false">
      <c r="A19" s="5" t="s">
        <v>633</v>
      </c>
      <c r="C19" s="3" t="s">
        <v>1174</v>
      </c>
    </row>
    <row r="20" customFormat="false" ht="23.85" hidden="false" customHeight="false" outlineLevel="0" collapsed="false">
      <c r="A20" s="5" t="s">
        <v>665</v>
      </c>
      <c r="C20" s="3" t="s">
        <v>1175</v>
      </c>
    </row>
    <row r="21" customFormat="false" ht="15" hidden="false" customHeight="false" outlineLevel="0" collapsed="false">
      <c r="A21" s="5" t="s">
        <v>749</v>
      </c>
      <c r="C21" s="3" t="s">
        <v>747</v>
      </c>
    </row>
    <row r="22" customFormat="false" ht="15" hidden="false" customHeight="false" outlineLevel="0" collapsed="false">
      <c r="A22" s="5" t="s">
        <v>610</v>
      </c>
      <c r="C22" s="3" t="s">
        <v>1176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58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26"/>
  </cols>
  <sheetData>
    <row r="1" customFormat="false" ht="17.35" hidden="false" customHeight="false" outlineLevel="0" collapsed="false">
      <c r="A1" s="6" t="s">
        <v>1177</v>
      </c>
    </row>
    <row r="2" customFormat="false" ht="15" hidden="false" customHeight="false" outlineLevel="0" collapsed="false">
      <c r="A2" s="7" t="s">
        <v>1178</v>
      </c>
    </row>
    <row r="4" customFormat="false" ht="15" hidden="false" customHeight="false" outlineLevel="0" collapsed="false">
      <c r="A4" s="8" t="s">
        <v>426</v>
      </c>
      <c r="B4" s="8" t="s">
        <v>427</v>
      </c>
      <c r="C4" s="8" t="s">
        <v>428</v>
      </c>
      <c r="D4" s="8" t="s">
        <v>1179</v>
      </c>
      <c r="E4" s="8" t="s">
        <v>1180</v>
      </c>
      <c r="F4" s="8" t="s">
        <v>1123</v>
      </c>
      <c r="G4" s="8" t="s">
        <v>1181</v>
      </c>
    </row>
    <row r="5" customFormat="false" ht="23.85" hidden="false" customHeight="false" outlineLevel="0" collapsed="false">
      <c r="A5" s="12" t="s">
        <v>438</v>
      </c>
      <c r="B5" s="12" t="s">
        <v>31</v>
      </c>
      <c r="C5" s="13" t="s">
        <v>439</v>
      </c>
      <c r="D5" s="13" t="s">
        <v>1141</v>
      </c>
      <c r="E5" s="13" t="s">
        <v>1142</v>
      </c>
      <c r="F5" s="13" t="s">
        <v>1182</v>
      </c>
      <c r="G5" s="13"/>
    </row>
    <row r="6" customFormat="false" ht="23.85" hidden="false" customHeight="false" outlineLevel="0" collapsed="false">
      <c r="A6" s="12" t="s">
        <v>446</v>
      </c>
      <c r="B6" s="12" t="s">
        <v>31</v>
      </c>
      <c r="C6" s="13" t="s">
        <v>447</v>
      </c>
      <c r="D6" s="13" t="s">
        <v>1141</v>
      </c>
      <c r="E6" s="13" t="s">
        <v>1142</v>
      </c>
      <c r="F6" s="13" t="s">
        <v>1182</v>
      </c>
      <c r="G6" s="13"/>
    </row>
    <row r="7" customFormat="false" ht="23.85" hidden="false" customHeight="false" outlineLevel="0" collapsed="false">
      <c r="A7" s="12" t="s">
        <v>452</v>
      </c>
      <c r="B7" s="12" t="s">
        <v>31</v>
      </c>
      <c r="C7" s="13" t="s">
        <v>453</v>
      </c>
      <c r="D7" s="13" t="s">
        <v>1141</v>
      </c>
      <c r="E7" s="13" t="s">
        <v>1142</v>
      </c>
      <c r="F7" s="13" t="s">
        <v>1182</v>
      </c>
      <c r="G7" s="13"/>
    </row>
    <row r="8" customFormat="false" ht="23.85" hidden="false" customHeight="false" outlineLevel="0" collapsed="false">
      <c r="A8" s="12" t="s">
        <v>458</v>
      </c>
      <c r="B8" s="12" t="s">
        <v>31</v>
      </c>
      <c r="C8" s="13" t="s">
        <v>459</v>
      </c>
      <c r="D8" s="13" t="s">
        <v>1141</v>
      </c>
      <c r="E8" s="13" t="s">
        <v>1142</v>
      </c>
      <c r="F8" s="13" t="s">
        <v>1182</v>
      </c>
      <c r="G8" s="13"/>
    </row>
    <row r="9" customFormat="false" ht="23.85" hidden="false" customHeight="false" outlineLevel="0" collapsed="false">
      <c r="A9" s="12" t="s">
        <v>463</v>
      </c>
      <c r="B9" s="12" t="s">
        <v>31</v>
      </c>
      <c r="C9" s="13" t="s">
        <v>464</v>
      </c>
      <c r="D9" s="13" t="s">
        <v>1141</v>
      </c>
      <c r="E9" s="13" t="s">
        <v>1142</v>
      </c>
      <c r="F9" s="13" t="s">
        <v>1182</v>
      </c>
      <c r="G9" s="13"/>
    </row>
    <row r="10" customFormat="false" ht="23.85" hidden="false" customHeight="false" outlineLevel="0" collapsed="false">
      <c r="A10" s="12" t="s">
        <v>471</v>
      </c>
      <c r="B10" s="12" t="s">
        <v>32</v>
      </c>
      <c r="C10" s="13" t="s">
        <v>472</v>
      </c>
      <c r="D10" s="13" t="s">
        <v>1141</v>
      </c>
      <c r="E10" s="13" t="s">
        <v>1183</v>
      </c>
      <c r="F10" s="13" t="s">
        <v>1184</v>
      </c>
      <c r="G10" s="13"/>
    </row>
    <row r="11" customFormat="false" ht="23.85" hidden="false" customHeight="false" outlineLevel="0" collapsed="false">
      <c r="A11" s="12" t="s">
        <v>479</v>
      </c>
      <c r="B11" s="12" t="s">
        <v>32</v>
      </c>
      <c r="C11" s="13" t="s">
        <v>480</v>
      </c>
      <c r="D11" s="13" t="s">
        <v>1185</v>
      </c>
      <c r="E11" s="13" t="s">
        <v>1186</v>
      </c>
      <c r="F11" s="13" t="s">
        <v>1187</v>
      </c>
      <c r="G11" s="13"/>
    </row>
    <row r="12" customFormat="false" ht="23.85" hidden="false" customHeight="false" outlineLevel="0" collapsed="false">
      <c r="A12" s="12" t="s">
        <v>486</v>
      </c>
      <c r="B12" s="12" t="s">
        <v>32</v>
      </c>
      <c r="C12" s="13" t="s">
        <v>487</v>
      </c>
      <c r="D12" s="13" t="s">
        <v>1141</v>
      </c>
      <c r="E12" s="13" t="s">
        <v>1183</v>
      </c>
      <c r="F12" s="13" t="s">
        <v>1184</v>
      </c>
      <c r="G12" s="13"/>
    </row>
    <row r="13" customFormat="false" ht="23.85" hidden="false" customHeight="false" outlineLevel="0" collapsed="false">
      <c r="A13" s="12" t="s">
        <v>492</v>
      </c>
      <c r="B13" s="12" t="s">
        <v>32</v>
      </c>
      <c r="C13" s="13" t="s">
        <v>493</v>
      </c>
      <c r="D13" s="13" t="s">
        <v>1141</v>
      </c>
      <c r="E13" s="13" t="s">
        <v>1183</v>
      </c>
      <c r="F13" s="13" t="s">
        <v>1184</v>
      </c>
      <c r="G13" s="13"/>
    </row>
    <row r="14" customFormat="false" ht="23.85" hidden="false" customHeight="false" outlineLevel="0" collapsed="false">
      <c r="A14" s="12" t="s">
        <v>499</v>
      </c>
      <c r="B14" s="12" t="s">
        <v>33</v>
      </c>
      <c r="C14" s="13" t="s">
        <v>500</v>
      </c>
      <c r="D14" s="13" t="s">
        <v>1141</v>
      </c>
      <c r="E14" s="13" t="s">
        <v>1149</v>
      </c>
      <c r="F14" s="13" t="s">
        <v>1150</v>
      </c>
      <c r="G14" s="13"/>
    </row>
    <row r="15" customFormat="false" ht="23.85" hidden="false" customHeight="false" outlineLevel="0" collapsed="false">
      <c r="A15" s="12" t="s">
        <v>504</v>
      </c>
      <c r="B15" s="12" t="s">
        <v>33</v>
      </c>
      <c r="C15" s="13" t="s">
        <v>505</v>
      </c>
      <c r="D15" s="13" t="s">
        <v>1141</v>
      </c>
      <c r="E15" s="13" t="s">
        <v>1149</v>
      </c>
      <c r="F15" s="13" t="s">
        <v>1150</v>
      </c>
      <c r="G15" s="13"/>
    </row>
    <row r="16" customFormat="false" ht="23.85" hidden="false" customHeight="false" outlineLevel="0" collapsed="false">
      <c r="A16" s="12" t="s">
        <v>509</v>
      </c>
      <c r="B16" s="12" t="s">
        <v>33</v>
      </c>
      <c r="C16" s="13" t="s">
        <v>510</v>
      </c>
      <c r="D16" s="13" t="s">
        <v>1141</v>
      </c>
      <c r="E16" s="13" t="s">
        <v>1149</v>
      </c>
      <c r="F16" s="13" t="s">
        <v>1150</v>
      </c>
      <c r="G16" s="13"/>
    </row>
    <row r="17" customFormat="false" ht="23.85" hidden="false" customHeight="false" outlineLevel="0" collapsed="false">
      <c r="A17" s="12" t="s">
        <v>515</v>
      </c>
      <c r="B17" s="12" t="s">
        <v>34</v>
      </c>
      <c r="C17" s="13" t="s">
        <v>516</v>
      </c>
      <c r="D17" s="13" t="s">
        <v>1141</v>
      </c>
      <c r="E17" s="13" t="s">
        <v>1132</v>
      </c>
      <c r="F17" s="13" t="s">
        <v>1188</v>
      </c>
      <c r="G17" s="13" t="s">
        <v>1134</v>
      </c>
    </row>
    <row r="18" customFormat="false" ht="23.85" hidden="false" customHeight="false" outlineLevel="0" collapsed="false">
      <c r="A18" s="12" t="s">
        <v>521</v>
      </c>
      <c r="B18" s="12" t="s">
        <v>34</v>
      </c>
      <c r="C18" s="13" t="s">
        <v>522</v>
      </c>
      <c r="D18" s="13" t="s">
        <v>1141</v>
      </c>
      <c r="E18" s="13" t="s">
        <v>1132</v>
      </c>
      <c r="F18" s="13" t="s">
        <v>1188</v>
      </c>
      <c r="G18" s="13" t="s">
        <v>1134</v>
      </c>
    </row>
    <row r="19" customFormat="false" ht="23.85" hidden="false" customHeight="false" outlineLevel="0" collapsed="false">
      <c r="A19" s="12" t="s">
        <v>526</v>
      </c>
      <c r="B19" s="12" t="s">
        <v>34</v>
      </c>
      <c r="C19" s="13" t="s">
        <v>527</v>
      </c>
      <c r="D19" s="13" t="s">
        <v>1141</v>
      </c>
      <c r="E19" s="13" t="s">
        <v>1132</v>
      </c>
      <c r="F19" s="13" t="s">
        <v>1188</v>
      </c>
      <c r="G19" s="13" t="s">
        <v>1134</v>
      </c>
    </row>
    <row r="20" customFormat="false" ht="23.85" hidden="false" customHeight="false" outlineLevel="0" collapsed="false">
      <c r="A20" s="12" t="s">
        <v>531</v>
      </c>
      <c r="B20" s="12" t="s">
        <v>34</v>
      </c>
      <c r="C20" s="13" t="s">
        <v>532</v>
      </c>
      <c r="D20" s="13" t="s">
        <v>1141</v>
      </c>
      <c r="E20" s="13" t="s">
        <v>1189</v>
      </c>
      <c r="F20" s="13" t="s">
        <v>1190</v>
      </c>
      <c r="G20" s="13" t="s">
        <v>1134</v>
      </c>
    </row>
    <row r="21" customFormat="false" ht="23.85" hidden="false" customHeight="false" outlineLevel="0" collapsed="false">
      <c r="A21" s="12" t="s">
        <v>536</v>
      </c>
      <c r="B21" s="12" t="s">
        <v>34</v>
      </c>
      <c r="C21" s="13" t="s">
        <v>537</v>
      </c>
      <c r="D21" s="13" t="s">
        <v>1141</v>
      </c>
      <c r="E21" s="13" t="s">
        <v>1132</v>
      </c>
      <c r="F21" s="13" t="s">
        <v>1188</v>
      </c>
      <c r="G21" s="13" t="s">
        <v>1134</v>
      </c>
    </row>
    <row r="22" customFormat="false" ht="23.85" hidden="false" customHeight="false" outlineLevel="0" collapsed="false">
      <c r="A22" s="12" t="s">
        <v>542</v>
      </c>
      <c r="B22" s="12" t="s">
        <v>34</v>
      </c>
      <c r="C22" s="13" t="s">
        <v>543</v>
      </c>
      <c r="D22" s="13" t="s">
        <v>1141</v>
      </c>
      <c r="E22" s="13" t="s">
        <v>1132</v>
      </c>
      <c r="F22" s="13" t="s">
        <v>1188</v>
      </c>
      <c r="G22" s="13" t="s">
        <v>1134</v>
      </c>
    </row>
    <row r="23" customFormat="false" ht="23.85" hidden="false" customHeight="false" outlineLevel="0" collapsed="false">
      <c r="A23" s="12" t="s">
        <v>547</v>
      </c>
      <c r="B23" s="12" t="s">
        <v>34</v>
      </c>
      <c r="C23" s="13" t="s">
        <v>548</v>
      </c>
      <c r="D23" s="13" t="s">
        <v>1141</v>
      </c>
      <c r="E23" s="13" t="s">
        <v>1132</v>
      </c>
      <c r="F23" s="13" t="s">
        <v>1188</v>
      </c>
      <c r="G23" s="13" t="s">
        <v>1134</v>
      </c>
    </row>
    <row r="24" customFormat="false" ht="23.85" hidden="false" customHeight="false" outlineLevel="0" collapsed="false">
      <c r="A24" s="12" t="s">
        <v>551</v>
      </c>
      <c r="B24" s="12" t="s">
        <v>35</v>
      </c>
      <c r="C24" s="13" t="s">
        <v>552</v>
      </c>
      <c r="D24" s="13" t="s">
        <v>1141</v>
      </c>
      <c r="E24" s="13" t="s">
        <v>1142</v>
      </c>
      <c r="F24" s="13" t="s">
        <v>1191</v>
      </c>
      <c r="G24" s="13"/>
    </row>
    <row r="25" customFormat="false" ht="23.85" hidden="false" customHeight="false" outlineLevel="0" collapsed="false">
      <c r="A25" s="12" t="s">
        <v>557</v>
      </c>
      <c r="B25" s="12" t="s">
        <v>35</v>
      </c>
      <c r="C25" s="13" t="s">
        <v>558</v>
      </c>
      <c r="D25" s="13" t="s">
        <v>1141</v>
      </c>
      <c r="E25" s="13" t="s">
        <v>1142</v>
      </c>
      <c r="F25" s="13" t="s">
        <v>1191</v>
      </c>
      <c r="G25" s="13"/>
    </row>
    <row r="26" customFormat="false" ht="23.85" hidden="false" customHeight="false" outlineLevel="0" collapsed="false">
      <c r="A26" s="12" t="s">
        <v>561</v>
      </c>
      <c r="B26" s="12" t="s">
        <v>35</v>
      </c>
      <c r="C26" s="13" t="s">
        <v>562</v>
      </c>
      <c r="D26" s="13" t="s">
        <v>1185</v>
      </c>
      <c r="E26" s="13" t="s">
        <v>1186</v>
      </c>
      <c r="F26" s="13" t="s">
        <v>1192</v>
      </c>
      <c r="G26" s="13"/>
    </row>
    <row r="27" customFormat="false" ht="23.85" hidden="false" customHeight="false" outlineLevel="0" collapsed="false">
      <c r="A27" s="12" t="s">
        <v>567</v>
      </c>
      <c r="B27" s="12" t="s">
        <v>35</v>
      </c>
      <c r="C27" s="13" t="s">
        <v>568</v>
      </c>
      <c r="D27" s="13" t="s">
        <v>1141</v>
      </c>
      <c r="E27" s="13" t="s">
        <v>1142</v>
      </c>
      <c r="F27" s="13" t="s">
        <v>1191</v>
      </c>
      <c r="G27" s="13"/>
    </row>
    <row r="28" customFormat="false" ht="23.85" hidden="false" customHeight="false" outlineLevel="0" collapsed="false">
      <c r="A28" s="12" t="s">
        <v>572</v>
      </c>
      <c r="B28" s="12" t="s">
        <v>36</v>
      </c>
      <c r="C28" s="13" t="s">
        <v>573</v>
      </c>
      <c r="D28" s="13" t="s">
        <v>1141</v>
      </c>
      <c r="E28" s="13" t="s">
        <v>1142</v>
      </c>
      <c r="F28" s="13" t="s">
        <v>1193</v>
      </c>
      <c r="G28" s="13"/>
    </row>
    <row r="29" customFormat="false" ht="23.85" hidden="false" customHeight="false" outlineLevel="0" collapsed="false">
      <c r="A29" s="12" t="s">
        <v>577</v>
      </c>
      <c r="B29" s="12" t="s">
        <v>36</v>
      </c>
      <c r="C29" s="13" t="s">
        <v>578</v>
      </c>
      <c r="D29" s="13" t="s">
        <v>1141</v>
      </c>
      <c r="E29" s="13" t="s">
        <v>1142</v>
      </c>
      <c r="F29" s="13" t="s">
        <v>1193</v>
      </c>
      <c r="G29" s="13"/>
    </row>
    <row r="30" customFormat="false" ht="23.85" hidden="false" customHeight="false" outlineLevel="0" collapsed="false">
      <c r="A30" s="12" t="s">
        <v>582</v>
      </c>
      <c r="B30" s="12" t="s">
        <v>36</v>
      </c>
      <c r="C30" s="13" t="s">
        <v>583</v>
      </c>
      <c r="D30" s="13" t="s">
        <v>1141</v>
      </c>
      <c r="E30" s="13" t="s">
        <v>1142</v>
      </c>
      <c r="F30" s="13" t="s">
        <v>1193</v>
      </c>
      <c r="G30" s="13"/>
    </row>
    <row r="31" customFormat="false" ht="23.85" hidden="false" customHeight="false" outlineLevel="0" collapsed="false">
      <c r="A31" s="12" t="s">
        <v>586</v>
      </c>
      <c r="B31" s="12" t="s">
        <v>37</v>
      </c>
      <c r="C31" s="13" t="s">
        <v>587</v>
      </c>
      <c r="D31" s="13" t="s">
        <v>1194</v>
      </c>
      <c r="E31" s="13" t="s">
        <v>1195</v>
      </c>
      <c r="F31" s="13" t="s">
        <v>1196</v>
      </c>
      <c r="G31" s="13"/>
    </row>
    <row r="32" customFormat="false" ht="23.85" hidden="false" customHeight="false" outlineLevel="0" collapsed="false">
      <c r="A32" s="12" t="s">
        <v>592</v>
      </c>
      <c r="B32" s="12" t="s">
        <v>37</v>
      </c>
      <c r="C32" s="13" t="s">
        <v>593</v>
      </c>
      <c r="D32" s="13" t="s">
        <v>1194</v>
      </c>
      <c r="E32" s="13" t="s">
        <v>1195</v>
      </c>
      <c r="F32" s="13" t="s">
        <v>1196</v>
      </c>
      <c r="G32" s="13"/>
    </row>
    <row r="33" customFormat="false" ht="23.85" hidden="false" customHeight="false" outlineLevel="0" collapsed="false">
      <c r="A33" s="12" t="s">
        <v>598</v>
      </c>
      <c r="B33" s="12" t="s">
        <v>37</v>
      </c>
      <c r="C33" s="13" t="s">
        <v>599</v>
      </c>
      <c r="D33" s="13" t="s">
        <v>1194</v>
      </c>
      <c r="E33" s="13" t="s">
        <v>1195</v>
      </c>
      <c r="F33" s="13" t="s">
        <v>1196</v>
      </c>
      <c r="G33" s="13"/>
    </row>
    <row r="34" customFormat="false" ht="23.85" hidden="false" customHeight="false" outlineLevel="0" collapsed="false">
      <c r="A34" s="12" t="s">
        <v>603</v>
      </c>
      <c r="B34" s="12" t="s">
        <v>37</v>
      </c>
      <c r="C34" s="13" t="s">
        <v>604</v>
      </c>
      <c r="D34" s="13" t="s">
        <v>1194</v>
      </c>
      <c r="E34" s="13" t="s">
        <v>1195</v>
      </c>
      <c r="F34" s="13" t="s">
        <v>1196</v>
      </c>
      <c r="G34" s="13"/>
    </row>
    <row r="35" customFormat="false" ht="23.85" hidden="false" customHeight="false" outlineLevel="0" collapsed="false">
      <c r="A35" s="12" t="s">
        <v>608</v>
      </c>
      <c r="B35" s="12" t="s">
        <v>38</v>
      </c>
      <c r="C35" s="13" t="s">
        <v>609</v>
      </c>
      <c r="D35" s="13" t="s">
        <v>1197</v>
      </c>
      <c r="E35" s="13" t="s">
        <v>1198</v>
      </c>
      <c r="F35" s="13" t="s">
        <v>1199</v>
      </c>
      <c r="G35" s="13" t="s">
        <v>1200</v>
      </c>
    </row>
    <row r="36" customFormat="false" ht="23.85" hidden="false" customHeight="false" outlineLevel="0" collapsed="false">
      <c r="A36" s="12" t="s">
        <v>614</v>
      </c>
      <c r="B36" s="12" t="s">
        <v>38</v>
      </c>
      <c r="C36" s="13" t="s">
        <v>615</v>
      </c>
      <c r="D36" s="13" t="s">
        <v>1197</v>
      </c>
      <c r="E36" s="13" t="s">
        <v>1198</v>
      </c>
      <c r="F36" s="13" t="s">
        <v>1199</v>
      </c>
      <c r="G36" s="13" t="s">
        <v>1200</v>
      </c>
    </row>
    <row r="37" customFormat="false" ht="23.85" hidden="false" customHeight="false" outlineLevel="0" collapsed="false">
      <c r="A37" s="12" t="s">
        <v>619</v>
      </c>
      <c r="B37" s="12" t="s">
        <v>38</v>
      </c>
      <c r="C37" s="13" t="s">
        <v>620</v>
      </c>
      <c r="D37" s="13" t="s">
        <v>1201</v>
      </c>
      <c r="E37" s="13" t="s">
        <v>1202</v>
      </c>
      <c r="F37" s="13" t="s">
        <v>1203</v>
      </c>
      <c r="G37" s="13" t="s">
        <v>1200</v>
      </c>
    </row>
    <row r="38" customFormat="false" ht="23.85" hidden="false" customHeight="false" outlineLevel="0" collapsed="false">
      <c r="A38" s="12" t="s">
        <v>624</v>
      </c>
      <c r="B38" s="12" t="s">
        <v>38</v>
      </c>
      <c r="C38" s="13" t="s">
        <v>625</v>
      </c>
      <c r="D38" s="13" t="s">
        <v>1197</v>
      </c>
      <c r="E38" s="13" t="s">
        <v>1198</v>
      </c>
      <c r="F38" s="13" t="s">
        <v>1199</v>
      </c>
      <c r="G38" s="13" t="s">
        <v>1200</v>
      </c>
    </row>
    <row r="39" customFormat="false" ht="23.85" hidden="false" customHeight="false" outlineLevel="0" collapsed="false">
      <c r="A39" s="12" t="s">
        <v>630</v>
      </c>
      <c r="B39" s="12" t="s">
        <v>39</v>
      </c>
      <c r="C39" s="13" t="s">
        <v>631</v>
      </c>
      <c r="D39" s="13" t="s">
        <v>1131</v>
      </c>
      <c r="E39" s="13" t="s">
        <v>1204</v>
      </c>
      <c r="F39" s="13" t="s">
        <v>1205</v>
      </c>
      <c r="G39" s="13"/>
    </row>
    <row r="40" customFormat="false" ht="23.85" hidden="false" customHeight="false" outlineLevel="0" collapsed="false">
      <c r="A40" s="12" t="s">
        <v>637</v>
      </c>
      <c r="B40" s="12" t="s">
        <v>39</v>
      </c>
      <c r="C40" s="13" t="s">
        <v>638</v>
      </c>
      <c r="D40" s="13" t="s">
        <v>1131</v>
      </c>
      <c r="E40" s="13" t="s">
        <v>1204</v>
      </c>
      <c r="F40" s="13" t="s">
        <v>1205</v>
      </c>
      <c r="G40" s="13"/>
    </row>
    <row r="41" customFormat="false" ht="23.85" hidden="false" customHeight="false" outlineLevel="0" collapsed="false">
      <c r="A41" s="12" t="s">
        <v>643</v>
      </c>
      <c r="B41" s="12" t="s">
        <v>39</v>
      </c>
      <c r="C41" s="13" t="s">
        <v>644</v>
      </c>
      <c r="D41" s="13" t="s">
        <v>1141</v>
      </c>
      <c r="E41" s="13" t="s">
        <v>1206</v>
      </c>
      <c r="F41" s="13" t="s">
        <v>1207</v>
      </c>
      <c r="G41" s="13"/>
    </row>
    <row r="42" customFormat="false" ht="23.85" hidden="false" customHeight="false" outlineLevel="0" collapsed="false">
      <c r="A42" s="12" t="s">
        <v>648</v>
      </c>
      <c r="B42" s="12" t="s">
        <v>40</v>
      </c>
      <c r="C42" s="13" t="s">
        <v>649</v>
      </c>
      <c r="D42" s="13" t="s">
        <v>1208</v>
      </c>
      <c r="E42" s="13" t="s">
        <v>1142</v>
      </c>
      <c r="F42" s="13" t="s">
        <v>1209</v>
      </c>
      <c r="G42" s="13"/>
    </row>
    <row r="43" customFormat="false" ht="15" hidden="false" customHeight="false" outlineLevel="0" collapsed="false">
      <c r="A43" s="12" t="s">
        <v>653</v>
      </c>
      <c r="B43" s="12" t="s">
        <v>40</v>
      </c>
      <c r="C43" s="13" t="s">
        <v>654</v>
      </c>
      <c r="D43" s="13" t="s">
        <v>1208</v>
      </c>
      <c r="E43" s="13" t="s">
        <v>1142</v>
      </c>
      <c r="F43" s="13" t="s">
        <v>1209</v>
      </c>
      <c r="G43" s="13"/>
    </row>
    <row r="44" customFormat="false" ht="23.85" hidden="false" customHeight="false" outlineLevel="0" collapsed="false">
      <c r="A44" s="12" t="s">
        <v>658</v>
      </c>
      <c r="B44" s="12" t="s">
        <v>40</v>
      </c>
      <c r="C44" s="13" t="s">
        <v>659</v>
      </c>
      <c r="D44" s="13" t="s">
        <v>1208</v>
      </c>
      <c r="E44" s="13" t="s">
        <v>1142</v>
      </c>
      <c r="F44" s="13" t="s">
        <v>1209</v>
      </c>
      <c r="G44" s="13"/>
    </row>
    <row r="45" customFormat="false" ht="23.85" hidden="false" customHeight="false" outlineLevel="0" collapsed="false">
      <c r="A45" s="12" t="s">
        <v>663</v>
      </c>
      <c r="B45" s="12" t="s">
        <v>41</v>
      </c>
      <c r="C45" s="13" t="s">
        <v>664</v>
      </c>
      <c r="D45" s="13" t="s">
        <v>1210</v>
      </c>
      <c r="E45" s="13" t="s">
        <v>1211</v>
      </c>
      <c r="F45" s="13" t="s">
        <v>1212</v>
      </c>
      <c r="G45" s="13"/>
    </row>
    <row r="46" customFormat="false" ht="23.85" hidden="false" customHeight="false" outlineLevel="0" collapsed="false">
      <c r="A46" s="12" t="s">
        <v>669</v>
      </c>
      <c r="B46" s="12" t="s">
        <v>41</v>
      </c>
      <c r="C46" s="13" t="s">
        <v>670</v>
      </c>
      <c r="D46" s="13" t="s">
        <v>1210</v>
      </c>
      <c r="E46" s="13" t="s">
        <v>1211</v>
      </c>
      <c r="F46" s="13" t="s">
        <v>1212</v>
      </c>
      <c r="G46" s="13"/>
    </row>
    <row r="47" customFormat="false" ht="23.85" hidden="false" customHeight="false" outlineLevel="0" collapsed="false">
      <c r="A47" s="12" t="s">
        <v>674</v>
      </c>
      <c r="B47" s="12" t="s">
        <v>41</v>
      </c>
      <c r="C47" s="13" t="s">
        <v>675</v>
      </c>
      <c r="D47" s="13" t="s">
        <v>1213</v>
      </c>
      <c r="E47" s="13" t="s">
        <v>1211</v>
      </c>
      <c r="F47" s="13" t="s">
        <v>1214</v>
      </c>
      <c r="G47" s="13"/>
    </row>
    <row r="48" customFormat="false" ht="15" hidden="false" customHeight="false" outlineLevel="0" collapsed="false">
      <c r="A48" s="12" t="s">
        <v>679</v>
      </c>
      <c r="B48" s="12" t="s">
        <v>41</v>
      </c>
      <c r="C48" s="13" t="s">
        <v>680</v>
      </c>
      <c r="D48" s="13" t="s">
        <v>1210</v>
      </c>
      <c r="E48" s="13" t="s">
        <v>1211</v>
      </c>
      <c r="F48" s="13" t="s">
        <v>1212</v>
      </c>
      <c r="G48" s="13"/>
    </row>
    <row r="49" customFormat="false" ht="23.85" hidden="false" customHeight="false" outlineLevel="0" collapsed="false">
      <c r="A49" s="12" t="s">
        <v>683</v>
      </c>
      <c r="B49" s="12" t="s">
        <v>42</v>
      </c>
      <c r="C49" s="13" t="s">
        <v>684</v>
      </c>
      <c r="D49" s="13" t="s">
        <v>1215</v>
      </c>
      <c r="E49" s="13" t="s">
        <v>1216</v>
      </c>
      <c r="F49" s="13" t="s">
        <v>1217</v>
      </c>
      <c r="G49" s="13"/>
    </row>
    <row r="50" customFormat="false" ht="23.85" hidden="false" customHeight="false" outlineLevel="0" collapsed="false">
      <c r="A50" s="12" t="s">
        <v>688</v>
      </c>
      <c r="B50" s="12" t="s">
        <v>42</v>
      </c>
      <c r="C50" s="13" t="s">
        <v>689</v>
      </c>
      <c r="D50" s="13" t="s">
        <v>1215</v>
      </c>
      <c r="E50" s="13" t="s">
        <v>1216</v>
      </c>
      <c r="F50" s="13" t="s">
        <v>1217</v>
      </c>
      <c r="G50" s="13"/>
    </row>
    <row r="51" customFormat="false" ht="23.85" hidden="false" customHeight="false" outlineLevel="0" collapsed="false">
      <c r="A51" s="12" t="s">
        <v>693</v>
      </c>
      <c r="B51" s="12" t="s">
        <v>42</v>
      </c>
      <c r="C51" s="13" t="s">
        <v>694</v>
      </c>
      <c r="D51" s="13" t="s">
        <v>1218</v>
      </c>
      <c r="E51" s="13" t="s">
        <v>1219</v>
      </c>
      <c r="F51" s="13" t="s">
        <v>1220</v>
      </c>
      <c r="G51" s="13"/>
    </row>
    <row r="52" customFormat="false" ht="23.85" hidden="false" customHeight="false" outlineLevel="0" collapsed="false">
      <c r="A52" s="12" t="s">
        <v>698</v>
      </c>
      <c r="B52" s="12" t="s">
        <v>42</v>
      </c>
      <c r="C52" s="13" t="s">
        <v>699</v>
      </c>
      <c r="D52" s="13" t="s">
        <v>1215</v>
      </c>
      <c r="E52" s="13" t="s">
        <v>1216</v>
      </c>
      <c r="F52" s="13" t="s">
        <v>1217</v>
      </c>
      <c r="G52" s="13"/>
    </row>
    <row r="53" customFormat="false" ht="23.85" hidden="false" customHeight="false" outlineLevel="0" collapsed="false">
      <c r="A53" s="12" t="s">
        <v>703</v>
      </c>
      <c r="B53" s="12" t="s">
        <v>43</v>
      </c>
      <c r="C53" s="13" t="s">
        <v>704</v>
      </c>
      <c r="D53" s="13" t="s">
        <v>1201</v>
      </c>
      <c r="E53" s="13" t="s">
        <v>1221</v>
      </c>
      <c r="F53" s="13" t="s">
        <v>1222</v>
      </c>
      <c r="G53" s="13"/>
    </row>
    <row r="54" customFormat="false" ht="23.85" hidden="false" customHeight="false" outlineLevel="0" collapsed="false">
      <c r="A54" s="12" t="s">
        <v>707</v>
      </c>
      <c r="B54" s="12" t="s">
        <v>43</v>
      </c>
      <c r="C54" s="13" t="s">
        <v>708</v>
      </c>
      <c r="D54" s="13" t="s">
        <v>1185</v>
      </c>
      <c r="E54" s="13" t="s">
        <v>1186</v>
      </c>
      <c r="F54" s="13" t="s">
        <v>1222</v>
      </c>
      <c r="G54" s="13"/>
    </row>
    <row r="55" customFormat="false" ht="23.85" hidden="false" customHeight="false" outlineLevel="0" collapsed="false">
      <c r="A55" s="12" t="s">
        <v>712</v>
      </c>
      <c r="B55" s="12" t="s">
        <v>43</v>
      </c>
      <c r="C55" s="13" t="s">
        <v>713</v>
      </c>
      <c r="D55" s="13" t="s">
        <v>1201</v>
      </c>
      <c r="E55" s="13" t="s">
        <v>1221</v>
      </c>
      <c r="F55" s="13" t="s">
        <v>1222</v>
      </c>
      <c r="G55" s="13"/>
    </row>
    <row r="56" customFormat="false" ht="23.85" hidden="false" customHeight="false" outlineLevel="0" collapsed="false">
      <c r="A56" s="12" t="s">
        <v>717</v>
      </c>
      <c r="B56" s="12" t="s">
        <v>44</v>
      </c>
      <c r="C56" s="13" t="s">
        <v>718</v>
      </c>
      <c r="D56" s="13" t="s">
        <v>1162</v>
      </c>
      <c r="E56" s="13" t="s">
        <v>1163</v>
      </c>
      <c r="F56" s="13" t="s">
        <v>1223</v>
      </c>
      <c r="G56" s="13"/>
    </row>
    <row r="57" customFormat="false" ht="23.85" hidden="false" customHeight="false" outlineLevel="0" collapsed="false">
      <c r="A57" s="12" t="s">
        <v>723</v>
      </c>
      <c r="B57" s="12" t="s">
        <v>44</v>
      </c>
      <c r="C57" s="13" t="s">
        <v>724</v>
      </c>
      <c r="D57" s="13" t="s">
        <v>1224</v>
      </c>
      <c r="E57" s="13" t="s">
        <v>1206</v>
      </c>
      <c r="F57" s="13" t="s">
        <v>1225</v>
      </c>
      <c r="G57" s="13"/>
    </row>
    <row r="58" customFormat="false" ht="23.85" hidden="false" customHeight="false" outlineLevel="0" collapsed="false">
      <c r="A58" s="12" t="s">
        <v>730</v>
      </c>
      <c r="B58" s="12" t="s">
        <v>44</v>
      </c>
      <c r="C58" s="13" t="s">
        <v>731</v>
      </c>
      <c r="D58" s="13" t="s">
        <v>1224</v>
      </c>
      <c r="E58" s="13" t="s">
        <v>1206</v>
      </c>
      <c r="F58" s="13" t="s">
        <v>1225</v>
      </c>
      <c r="G58" s="13"/>
    </row>
    <row r="59" customFormat="false" ht="23.85" hidden="false" customHeight="false" outlineLevel="0" collapsed="false">
      <c r="A59" s="12" t="s">
        <v>735</v>
      </c>
      <c r="B59" s="12" t="s">
        <v>44</v>
      </c>
      <c r="C59" s="13" t="s">
        <v>736</v>
      </c>
      <c r="D59" s="13" t="s">
        <v>1224</v>
      </c>
      <c r="E59" s="13" t="s">
        <v>1206</v>
      </c>
      <c r="F59" s="13" t="s">
        <v>1226</v>
      </c>
      <c r="G59" s="13"/>
    </row>
    <row r="60" customFormat="false" ht="23.85" hidden="false" customHeight="false" outlineLevel="0" collapsed="false">
      <c r="A60" s="12" t="s">
        <v>739</v>
      </c>
      <c r="B60" s="12" t="s">
        <v>45</v>
      </c>
      <c r="C60" s="13" t="s">
        <v>740</v>
      </c>
      <c r="D60" s="13" t="s">
        <v>1141</v>
      </c>
      <c r="E60" s="13" t="s">
        <v>1142</v>
      </c>
      <c r="F60" s="13" t="s">
        <v>1227</v>
      </c>
      <c r="G60" s="13"/>
    </row>
    <row r="61" customFormat="false" ht="23.85" hidden="false" customHeight="false" outlineLevel="0" collapsed="false">
      <c r="A61" s="12" t="s">
        <v>743</v>
      </c>
      <c r="B61" s="12" t="s">
        <v>45</v>
      </c>
      <c r="C61" s="13" t="s">
        <v>744</v>
      </c>
      <c r="D61" s="13" t="s">
        <v>1141</v>
      </c>
      <c r="E61" s="13" t="s">
        <v>1142</v>
      </c>
      <c r="F61" s="13" t="s">
        <v>1227</v>
      </c>
      <c r="G61" s="13"/>
    </row>
    <row r="62" customFormat="false" ht="23.85" hidden="false" customHeight="false" outlineLevel="0" collapsed="false">
      <c r="A62" s="12" t="s">
        <v>747</v>
      </c>
      <c r="B62" s="12" t="s">
        <v>45</v>
      </c>
      <c r="C62" s="13" t="s">
        <v>748</v>
      </c>
      <c r="D62" s="13" t="s">
        <v>1141</v>
      </c>
      <c r="E62" s="13" t="s">
        <v>1142</v>
      </c>
      <c r="F62" s="13" t="s">
        <v>1227</v>
      </c>
      <c r="G62" s="13"/>
    </row>
    <row r="63" customFormat="false" ht="23.85" hidden="false" customHeight="false" outlineLevel="0" collapsed="false">
      <c r="A63" s="12" t="s">
        <v>752</v>
      </c>
      <c r="B63" s="12" t="s">
        <v>46</v>
      </c>
      <c r="C63" s="13" t="s">
        <v>753</v>
      </c>
      <c r="D63" s="13" t="s">
        <v>1141</v>
      </c>
      <c r="E63" s="13" t="s">
        <v>1142</v>
      </c>
      <c r="F63" s="13" t="s">
        <v>1228</v>
      </c>
      <c r="G63" s="13"/>
    </row>
    <row r="64" customFormat="false" ht="23.85" hidden="false" customHeight="false" outlineLevel="0" collapsed="false">
      <c r="A64" s="12" t="s">
        <v>756</v>
      </c>
      <c r="B64" s="12" t="s">
        <v>46</v>
      </c>
      <c r="C64" s="13" t="s">
        <v>757</v>
      </c>
      <c r="D64" s="13" t="s">
        <v>1141</v>
      </c>
      <c r="E64" s="13" t="s">
        <v>1142</v>
      </c>
      <c r="F64" s="13" t="s">
        <v>1228</v>
      </c>
      <c r="G64" s="13"/>
    </row>
    <row r="65" customFormat="false" ht="23.85" hidden="false" customHeight="false" outlineLevel="0" collapsed="false">
      <c r="A65" s="12" t="s">
        <v>761</v>
      </c>
      <c r="B65" s="12" t="s">
        <v>46</v>
      </c>
      <c r="C65" s="13" t="s">
        <v>762</v>
      </c>
      <c r="D65" s="13" t="s">
        <v>1141</v>
      </c>
      <c r="E65" s="13" t="s">
        <v>1142</v>
      </c>
      <c r="F65" s="13" t="s">
        <v>1228</v>
      </c>
      <c r="G65" s="13"/>
    </row>
    <row r="66" customFormat="false" ht="23.85" hidden="false" customHeight="false" outlineLevel="0" collapsed="false">
      <c r="A66" s="12" t="s">
        <v>766</v>
      </c>
      <c r="B66" s="12" t="s">
        <v>47</v>
      </c>
      <c r="C66" s="13" t="s">
        <v>767</v>
      </c>
      <c r="D66" s="13" t="s">
        <v>1141</v>
      </c>
      <c r="E66" s="13" t="s">
        <v>1142</v>
      </c>
      <c r="F66" s="13" t="s">
        <v>1229</v>
      </c>
      <c r="G66" s="13"/>
    </row>
    <row r="67" customFormat="false" ht="23.85" hidden="false" customHeight="false" outlineLevel="0" collapsed="false">
      <c r="A67" s="12" t="s">
        <v>770</v>
      </c>
      <c r="B67" s="12" t="s">
        <v>47</v>
      </c>
      <c r="C67" s="13" t="s">
        <v>771</v>
      </c>
      <c r="D67" s="13" t="s">
        <v>1141</v>
      </c>
      <c r="E67" s="13" t="s">
        <v>1142</v>
      </c>
      <c r="F67" s="13" t="s">
        <v>1229</v>
      </c>
      <c r="G67" s="13"/>
    </row>
    <row r="68" customFormat="false" ht="23.85" hidden="false" customHeight="false" outlineLevel="0" collapsed="false">
      <c r="A68" s="12" t="s">
        <v>775</v>
      </c>
      <c r="B68" s="12" t="s">
        <v>48</v>
      </c>
      <c r="C68" s="13" t="s">
        <v>776</v>
      </c>
      <c r="D68" s="13" t="s">
        <v>1224</v>
      </c>
      <c r="E68" s="13" t="s">
        <v>1142</v>
      </c>
      <c r="F68" s="13" t="s">
        <v>1230</v>
      </c>
      <c r="G68" s="13"/>
    </row>
    <row r="69" customFormat="false" ht="23.85" hidden="false" customHeight="false" outlineLevel="0" collapsed="false">
      <c r="A69" s="12" t="s">
        <v>780</v>
      </c>
      <c r="B69" s="12" t="s">
        <v>48</v>
      </c>
      <c r="C69" s="13" t="s">
        <v>781</v>
      </c>
      <c r="D69" s="13" t="s">
        <v>1224</v>
      </c>
      <c r="E69" s="13" t="s">
        <v>1142</v>
      </c>
      <c r="F69" s="13" t="s">
        <v>1230</v>
      </c>
      <c r="G69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6" t="s">
        <v>1231</v>
      </c>
    </row>
    <row r="2" customFormat="false" ht="15" hidden="false" customHeight="false" outlineLevel="0" collapsed="false">
      <c r="A2" s="7" t="s">
        <v>1232</v>
      </c>
    </row>
    <row r="4" customFormat="false" ht="23.85" hidden="false" customHeight="false" outlineLevel="0" collapsed="false">
      <c r="A4" s="8" t="s">
        <v>1233</v>
      </c>
      <c r="B4" s="8" t="s">
        <v>78</v>
      </c>
      <c r="C4" s="8" t="s">
        <v>1234</v>
      </c>
      <c r="D4" s="8" t="s">
        <v>1235</v>
      </c>
      <c r="E4" s="8" t="s">
        <v>1236</v>
      </c>
      <c r="F4" s="8" t="s">
        <v>1237</v>
      </c>
    </row>
    <row r="5" customFormat="false" ht="15" hidden="false" customHeight="false" outlineLevel="0" collapsed="false">
      <c r="A5" s="12" t="s">
        <v>1238</v>
      </c>
      <c r="B5" s="12" t="s">
        <v>1239</v>
      </c>
      <c r="C5" s="13" t="s">
        <v>1240</v>
      </c>
      <c r="D5" s="13" t="n">
        <v>4</v>
      </c>
      <c r="E5" s="13" t="s">
        <v>1241</v>
      </c>
      <c r="F5" s="13" t="s">
        <v>1242</v>
      </c>
    </row>
    <row r="6" customFormat="false" ht="15" hidden="false" customHeight="false" outlineLevel="0" collapsed="false">
      <c r="A6" s="12" t="s">
        <v>1243</v>
      </c>
      <c r="B6" s="12" t="s">
        <v>1244</v>
      </c>
      <c r="C6" s="13" t="s">
        <v>1240</v>
      </c>
      <c r="D6" s="13" t="n">
        <v>5</v>
      </c>
      <c r="E6" s="13" t="s">
        <v>1245</v>
      </c>
      <c r="F6" s="13" t="s">
        <v>1242</v>
      </c>
    </row>
    <row r="7" customFormat="false" ht="23.85" hidden="false" customHeight="false" outlineLevel="0" collapsed="false">
      <c r="A7" s="12" t="s">
        <v>1246</v>
      </c>
      <c r="B7" s="12" t="s">
        <v>1247</v>
      </c>
      <c r="C7" s="13" t="s">
        <v>1240</v>
      </c>
      <c r="D7" s="13" t="n">
        <v>7</v>
      </c>
      <c r="E7" s="13" t="s">
        <v>1248</v>
      </c>
      <c r="F7" s="13" t="s">
        <v>1242</v>
      </c>
    </row>
    <row r="8" customFormat="false" ht="15" hidden="false" customHeight="false" outlineLevel="0" collapsed="false">
      <c r="A8" s="12" t="s">
        <v>1249</v>
      </c>
      <c r="B8" s="12" t="s">
        <v>1250</v>
      </c>
      <c r="C8" s="13" t="s">
        <v>1240</v>
      </c>
      <c r="D8" s="13" t="n">
        <v>4</v>
      </c>
      <c r="E8" s="13" t="s">
        <v>1173</v>
      </c>
      <c r="F8" s="13" t="s">
        <v>1242</v>
      </c>
    </row>
    <row r="9" customFormat="false" ht="23.85" hidden="false" customHeight="false" outlineLevel="0" collapsed="false">
      <c r="A9" s="12" t="s">
        <v>1225</v>
      </c>
      <c r="B9" s="12" t="s">
        <v>1251</v>
      </c>
      <c r="C9" s="13" t="s">
        <v>1240</v>
      </c>
      <c r="D9" s="13" t="n">
        <v>7</v>
      </c>
      <c r="E9" s="13" t="s">
        <v>1252</v>
      </c>
      <c r="F9" s="13" t="s">
        <v>1242</v>
      </c>
    </row>
    <row r="10" customFormat="false" ht="23.85" hidden="false" customHeight="false" outlineLevel="0" collapsed="false">
      <c r="A10" s="12" t="s">
        <v>1253</v>
      </c>
      <c r="B10" s="12" t="s">
        <v>1254</v>
      </c>
      <c r="C10" s="13" t="s">
        <v>1240</v>
      </c>
      <c r="D10" s="13" t="n">
        <v>6</v>
      </c>
      <c r="E10" s="13" t="s">
        <v>1255</v>
      </c>
      <c r="F10" s="13" t="s">
        <v>1242</v>
      </c>
    </row>
    <row r="11" customFormat="false" ht="23.85" hidden="false" customHeight="false" outlineLevel="0" collapsed="false">
      <c r="A11" s="12" t="s">
        <v>1256</v>
      </c>
      <c r="B11" s="12" t="s">
        <v>1257</v>
      </c>
      <c r="C11" s="13" t="s">
        <v>1240</v>
      </c>
      <c r="D11" s="13" t="n">
        <v>4</v>
      </c>
      <c r="E11" s="13" t="s">
        <v>1258</v>
      </c>
      <c r="F11" s="13" t="s">
        <v>1242</v>
      </c>
    </row>
    <row r="12" customFormat="false" ht="15" hidden="false" customHeight="false" outlineLevel="0" collapsed="false">
      <c r="A12" s="12" t="s">
        <v>1259</v>
      </c>
      <c r="B12" s="12" t="s">
        <v>1260</v>
      </c>
      <c r="C12" s="13" t="s">
        <v>1240</v>
      </c>
      <c r="D12" s="13" t="n">
        <v>4</v>
      </c>
      <c r="E12" s="13" t="s">
        <v>1258</v>
      </c>
      <c r="F12" s="13" t="s">
        <v>1242</v>
      </c>
    </row>
    <row r="13" customFormat="false" ht="15" hidden="false" customHeight="false" outlineLevel="0" collapsed="false">
      <c r="A13" s="12" t="s">
        <v>1261</v>
      </c>
      <c r="B13" s="12" t="s">
        <v>1262</v>
      </c>
      <c r="C13" s="13" t="s">
        <v>1240</v>
      </c>
      <c r="D13" s="13" t="n">
        <v>3</v>
      </c>
      <c r="E13" s="13" t="s">
        <v>1263</v>
      </c>
      <c r="F13" s="13" t="s">
        <v>1264</v>
      </c>
    </row>
    <row r="14" customFormat="false" ht="15" hidden="false" customHeight="false" outlineLevel="0" collapsed="false">
      <c r="A14" s="12" t="s">
        <v>1265</v>
      </c>
      <c r="B14" s="12" t="s">
        <v>1266</v>
      </c>
      <c r="C14" s="13" t="s">
        <v>1240</v>
      </c>
      <c r="D14" s="13" t="n">
        <v>3</v>
      </c>
      <c r="E14" s="13" t="s">
        <v>1267</v>
      </c>
      <c r="F14" s="13" t="s">
        <v>1242</v>
      </c>
    </row>
    <row r="15" customFormat="false" ht="15" hidden="false" customHeight="false" outlineLevel="0" collapsed="false">
      <c r="A15" s="12" t="s">
        <v>1226</v>
      </c>
      <c r="B15" s="12" t="s">
        <v>1268</v>
      </c>
      <c r="C15" s="13" t="s">
        <v>1240</v>
      </c>
      <c r="D15" s="13" t="n">
        <v>2</v>
      </c>
      <c r="E15" s="13" t="s">
        <v>1269</v>
      </c>
      <c r="F15" s="13" t="s">
        <v>1242</v>
      </c>
    </row>
    <row r="16" customFormat="false" ht="23.85" hidden="false" customHeight="false" outlineLevel="0" collapsed="false">
      <c r="A16" s="12" t="s">
        <v>1222</v>
      </c>
      <c r="B16" s="12" t="s">
        <v>1270</v>
      </c>
      <c r="C16" s="13" t="s">
        <v>1240</v>
      </c>
      <c r="D16" s="13" t="n">
        <v>9</v>
      </c>
      <c r="E16" s="13" t="s">
        <v>1271</v>
      </c>
      <c r="F16" s="13" t="s">
        <v>1242</v>
      </c>
    </row>
    <row r="17" customFormat="false" ht="15" hidden="false" customHeight="false" outlineLevel="0" collapsed="false">
      <c r="A17" s="12" t="s">
        <v>1272</v>
      </c>
      <c r="B17" s="12" t="s">
        <v>1273</v>
      </c>
      <c r="C17" s="13" t="s">
        <v>1240</v>
      </c>
      <c r="D17" s="13" t="n">
        <v>1</v>
      </c>
      <c r="E17" s="13" t="s">
        <v>717</v>
      </c>
      <c r="F17" s="13" t="s">
        <v>1264</v>
      </c>
    </row>
    <row r="18" customFormat="false" ht="15" hidden="false" customHeight="false" outlineLevel="0" collapsed="false">
      <c r="A18" s="12" t="s">
        <v>1274</v>
      </c>
      <c r="B18" s="12" t="s">
        <v>1275</v>
      </c>
      <c r="C18" s="13" t="s">
        <v>1276</v>
      </c>
      <c r="D18" s="13" t="n">
        <v>3</v>
      </c>
      <c r="E18" s="13" t="s">
        <v>1277</v>
      </c>
      <c r="F18" s="13" t="s">
        <v>1264</v>
      </c>
    </row>
    <row r="19" customFormat="false" ht="15" hidden="false" customHeight="false" outlineLevel="0" collapsed="false">
      <c r="A19" s="12" t="s">
        <v>1278</v>
      </c>
      <c r="B19" s="12" t="s">
        <v>1279</v>
      </c>
      <c r="C19" s="13" t="s">
        <v>1276</v>
      </c>
      <c r="D19" s="13" t="n">
        <v>3</v>
      </c>
      <c r="E19" s="13" t="s">
        <v>1277</v>
      </c>
      <c r="F19" s="13" t="s">
        <v>1242</v>
      </c>
    </row>
    <row r="20" customFormat="false" ht="15" hidden="false" customHeight="false" outlineLevel="0" collapsed="false">
      <c r="A20" s="12" t="s">
        <v>1280</v>
      </c>
      <c r="B20" s="12" t="s">
        <v>1281</v>
      </c>
      <c r="C20" s="13" t="s">
        <v>1282</v>
      </c>
      <c r="D20" s="13" t="n">
        <v>2</v>
      </c>
      <c r="E20" s="13" t="s">
        <v>1283</v>
      </c>
      <c r="F20" s="13" t="s">
        <v>1264</v>
      </c>
    </row>
    <row r="21" customFormat="false" ht="15" hidden="false" customHeight="false" outlineLevel="0" collapsed="false">
      <c r="A21" s="12" t="s">
        <v>1284</v>
      </c>
      <c r="B21" s="12" t="s">
        <v>1285</v>
      </c>
      <c r="C21" s="13" t="s">
        <v>1282</v>
      </c>
      <c r="D21" s="13" t="n">
        <v>2</v>
      </c>
      <c r="E21" s="13" t="s">
        <v>1283</v>
      </c>
      <c r="F21" s="13" t="s">
        <v>1264</v>
      </c>
    </row>
    <row r="22" customFormat="false" ht="15" hidden="false" customHeight="false" outlineLevel="0" collapsed="false">
      <c r="A22" s="12" t="s">
        <v>1286</v>
      </c>
      <c r="B22" s="12" t="s">
        <v>1287</v>
      </c>
      <c r="C22" s="13" t="s">
        <v>1288</v>
      </c>
      <c r="D22" s="13" t="n">
        <v>3</v>
      </c>
      <c r="E22" s="13" t="s">
        <v>1277</v>
      </c>
      <c r="F22" s="13" t="s">
        <v>1242</v>
      </c>
    </row>
    <row r="23" customFormat="false" ht="15" hidden="false" customHeight="false" outlineLevel="0" collapsed="false">
      <c r="A23" s="12" t="s">
        <v>1289</v>
      </c>
      <c r="B23" s="12" t="s">
        <v>1290</v>
      </c>
      <c r="C23" s="13" t="s">
        <v>1288</v>
      </c>
      <c r="D23" s="13" t="n">
        <v>5</v>
      </c>
      <c r="E23" s="13" t="s">
        <v>1245</v>
      </c>
      <c r="F23" s="13" t="s">
        <v>1242</v>
      </c>
    </row>
    <row r="24" customFormat="false" ht="15" hidden="false" customHeight="false" outlineLevel="0" collapsed="false">
      <c r="A24" s="12" t="s">
        <v>1291</v>
      </c>
      <c r="B24" s="12" t="s">
        <v>1292</v>
      </c>
      <c r="C24" s="13" t="s">
        <v>1288</v>
      </c>
      <c r="D24" s="13" t="n">
        <v>1</v>
      </c>
      <c r="E24" s="13" t="s">
        <v>531</v>
      </c>
      <c r="F24" s="13" t="s">
        <v>1264</v>
      </c>
    </row>
    <row r="25" customFormat="false" ht="15" hidden="false" customHeight="false" outlineLevel="0" collapsed="false">
      <c r="A25" s="12" t="s">
        <v>1207</v>
      </c>
      <c r="B25" s="12" t="s">
        <v>1293</v>
      </c>
      <c r="C25" s="13" t="s">
        <v>1288</v>
      </c>
      <c r="D25" s="13" t="n">
        <v>3</v>
      </c>
      <c r="E25" s="13" t="s">
        <v>1294</v>
      </c>
      <c r="F25" s="13" t="s">
        <v>1242</v>
      </c>
    </row>
    <row r="26" customFormat="false" ht="23.85" hidden="false" customHeight="false" outlineLevel="0" collapsed="false">
      <c r="A26" s="12" t="s">
        <v>1295</v>
      </c>
      <c r="B26" s="12" t="s">
        <v>1296</v>
      </c>
      <c r="C26" s="13" t="s">
        <v>1288</v>
      </c>
      <c r="D26" s="13" t="n">
        <v>8</v>
      </c>
      <c r="E26" s="13" t="s">
        <v>1297</v>
      </c>
      <c r="F26" s="13" t="s">
        <v>1264</v>
      </c>
    </row>
    <row r="27" customFormat="false" ht="15" hidden="false" customHeight="false" outlineLevel="0" collapsed="false">
      <c r="A27" s="12" t="s">
        <v>1298</v>
      </c>
      <c r="B27" s="12" t="s">
        <v>1299</v>
      </c>
      <c r="C27" s="13" t="s">
        <v>1288</v>
      </c>
      <c r="D27" s="13" t="n">
        <v>1</v>
      </c>
      <c r="E27" s="13" t="s">
        <v>619</v>
      </c>
      <c r="F27" s="13" t="s">
        <v>1242</v>
      </c>
    </row>
    <row r="28" customFormat="false" ht="15" hidden="false" customHeight="false" outlineLevel="0" collapsed="false">
      <c r="A28" s="12" t="s">
        <v>1300</v>
      </c>
      <c r="B28" s="12" t="s">
        <v>1301</v>
      </c>
      <c r="C28" s="13" t="s">
        <v>1288</v>
      </c>
      <c r="D28" s="13" t="n">
        <v>3</v>
      </c>
      <c r="E28" s="13" t="s">
        <v>1302</v>
      </c>
      <c r="F28" s="13" t="s">
        <v>1264</v>
      </c>
    </row>
    <row r="29" customFormat="false" ht="23.85" hidden="false" customHeight="false" outlineLevel="0" collapsed="false">
      <c r="A29" s="12" t="s">
        <v>1220</v>
      </c>
      <c r="B29" s="12" t="s">
        <v>1303</v>
      </c>
      <c r="C29" s="13" t="s">
        <v>1288</v>
      </c>
      <c r="D29" s="13" t="n">
        <v>7</v>
      </c>
      <c r="E29" s="13" t="s">
        <v>1304</v>
      </c>
      <c r="F29" s="13" t="s">
        <v>1242</v>
      </c>
    </row>
    <row r="30" customFormat="false" ht="15" hidden="false" customHeight="false" outlineLevel="0" collapsed="false">
      <c r="A30" s="12" t="s">
        <v>1305</v>
      </c>
      <c r="B30" s="12" t="s">
        <v>1306</v>
      </c>
      <c r="C30" s="13" t="s">
        <v>1288</v>
      </c>
      <c r="D30" s="13" t="n">
        <v>3</v>
      </c>
      <c r="E30" s="13" t="s">
        <v>1267</v>
      </c>
      <c r="F30" s="13" t="s">
        <v>1242</v>
      </c>
    </row>
    <row r="31" customFormat="false" ht="15" hidden="false" customHeight="false" outlineLevel="0" collapsed="false">
      <c r="A31" s="12" t="s">
        <v>1307</v>
      </c>
      <c r="B31" s="12" t="s">
        <v>1308</v>
      </c>
      <c r="C31" s="13" t="s">
        <v>1288</v>
      </c>
      <c r="D31" s="13" t="n">
        <v>3</v>
      </c>
      <c r="E31" s="13" t="s">
        <v>1172</v>
      </c>
      <c r="F31" s="13" t="s">
        <v>1242</v>
      </c>
    </row>
    <row r="32" customFormat="false" ht="15" hidden="false" customHeight="false" outlineLevel="0" collapsed="false">
      <c r="A32" s="12" t="s">
        <v>1309</v>
      </c>
      <c r="B32" s="12" t="s">
        <v>1310</v>
      </c>
      <c r="C32" s="13" t="s">
        <v>1288</v>
      </c>
      <c r="D32" s="13" t="n">
        <v>3</v>
      </c>
      <c r="E32" s="13" t="s">
        <v>1172</v>
      </c>
      <c r="F32" s="13" t="s">
        <v>1242</v>
      </c>
    </row>
    <row r="33" customFormat="false" ht="15" hidden="false" customHeight="false" outlineLevel="0" collapsed="false">
      <c r="A33" s="12" t="s">
        <v>1311</v>
      </c>
      <c r="B33" s="12" t="s">
        <v>1312</v>
      </c>
      <c r="C33" s="13" t="s">
        <v>1288</v>
      </c>
      <c r="D33" s="13" t="n">
        <v>5</v>
      </c>
      <c r="E33" s="13" t="s">
        <v>1313</v>
      </c>
      <c r="F33" s="13" t="s">
        <v>1242</v>
      </c>
    </row>
    <row r="34" customFormat="false" ht="15" hidden="false" customHeight="false" outlineLevel="0" collapsed="false">
      <c r="A34" s="12" t="s">
        <v>1314</v>
      </c>
      <c r="B34" s="12" t="s">
        <v>1315</v>
      </c>
      <c r="C34" s="13" t="s">
        <v>1288</v>
      </c>
      <c r="D34" s="13" t="n">
        <v>3</v>
      </c>
      <c r="E34" s="13" t="s">
        <v>1316</v>
      </c>
      <c r="F34" s="13" t="s">
        <v>1242</v>
      </c>
    </row>
    <row r="35" customFormat="false" ht="15" hidden="false" customHeight="false" outlineLevel="0" collapsed="false">
      <c r="A35" s="12" t="s">
        <v>1150</v>
      </c>
      <c r="B35" s="12" t="s">
        <v>1317</v>
      </c>
      <c r="C35" s="13" t="s">
        <v>1288</v>
      </c>
      <c r="D35" s="13" t="n">
        <v>3</v>
      </c>
      <c r="E35" s="13" t="s">
        <v>1318</v>
      </c>
      <c r="F35" s="13" t="s">
        <v>1242</v>
      </c>
    </row>
    <row r="36" customFormat="false" ht="23.85" hidden="false" customHeight="false" outlineLevel="0" collapsed="false">
      <c r="A36" s="12" t="s">
        <v>1319</v>
      </c>
      <c r="B36" s="12" t="s">
        <v>1320</v>
      </c>
      <c r="C36" s="13" t="s">
        <v>1288</v>
      </c>
      <c r="D36" s="13" t="n">
        <v>7</v>
      </c>
      <c r="E36" s="13" t="s">
        <v>1321</v>
      </c>
      <c r="F36" s="13" t="s">
        <v>1264</v>
      </c>
    </row>
    <row r="37" customFormat="false" ht="23.85" hidden="false" customHeight="false" outlineLevel="0" collapsed="false">
      <c r="A37" s="12" t="s">
        <v>1322</v>
      </c>
      <c r="B37" s="12" t="s">
        <v>1323</v>
      </c>
      <c r="C37" s="13" t="s">
        <v>1288</v>
      </c>
      <c r="D37" s="13" t="n">
        <v>6</v>
      </c>
      <c r="E37" s="13" t="s">
        <v>1324</v>
      </c>
      <c r="F37" s="13" t="s">
        <v>1264</v>
      </c>
    </row>
    <row r="38" customFormat="false" ht="23.85" hidden="false" customHeight="false" outlineLevel="0" collapsed="false">
      <c r="A38" s="12" t="s">
        <v>1325</v>
      </c>
      <c r="B38" s="12" t="s">
        <v>1326</v>
      </c>
      <c r="C38" s="13" t="s">
        <v>1288</v>
      </c>
      <c r="D38" s="13" t="n">
        <v>8</v>
      </c>
      <c r="E38" s="13" t="s">
        <v>1327</v>
      </c>
      <c r="F38" s="13" t="s">
        <v>1242</v>
      </c>
    </row>
    <row r="39" customFormat="false" ht="15" hidden="false" customHeight="false" outlineLevel="0" collapsed="false">
      <c r="A39" s="12" t="s">
        <v>1328</v>
      </c>
      <c r="B39" s="12" t="s">
        <v>1329</v>
      </c>
      <c r="C39" s="13" t="s">
        <v>1288</v>
      </c>
      <c r="D39" s="13" t="n">
        <v>4</v>
      </c>
      <c r="E39" s="13" t="s">
        <v>1330</v>
      </c>
      <c r="F39" s="13" t="s">
        <v>1242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2026-10-06T14:24:49Z</dcterms:created>
  <dc:creator>openpyxl</dc:creator>
  <dc:description/>
  <dc:language>en-US</dc:language>
  <cp:lastModifiedBy/>
  <dcterms:modified xsi:type="dcterms:W3CDTF">2026-10-06T14:24:49Z</dcterms:modified>
  <cp:revision>0</cp:revision>
  <dc:subject/>
  <dc:title>Follow-up workbook (fictional case study, simulated)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