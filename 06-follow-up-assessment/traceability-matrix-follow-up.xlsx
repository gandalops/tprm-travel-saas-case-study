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atrix" sheetId="2" state="visible" r:id="rId4"/>
  </sheets>
  <definedNames>
    <definedName function="false" hidden="true" localSheetId="1" name="_xlnm._FilterDatabase" vbProcedure="false">Matrix!$A$3:$S$30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<sst xmlns="http://schemas.openxmlformats.org/spreadsheetml/2006/main" count="544" uniqueCount="376">
  <si>
    <t xml:space="preserve">Traceability matrix (follow-up)</t>
  </si>
  <si>
    <t xml:space="preserve">Case study</t>
  </si>
  <si>
    <t xml:space="preserve">Fictional. All vendor answers and evidence are simulated.</t>
  </si>
  <si>
    <t xml:space="preserve">Chain</t>
  </si>
  <si>
    <t xml:space="preserve">Flow, observation or claim, risk, control, framework reference, question, vendor answer, evidence, rating, finding, remediation, treatment. This matrix adds the follow-up questions, replies, status and severity after the follow-up.</t>
  </si>
  <si>
    <t xml:space="preserve">Rows</t>
  </si>
  <si>
    <t xml:space="preserve">T-01 to T-20 come from the initial assessment (initial columns unchanged). T-21 to T-27 are new threads from the follow-up.</t>
  </si>
  <si>
    <t xml:space="preserve">Questions</t>
  </si>
  <si>
    <t xml:space="preserve">Initial IDs are written Q-E3. Follow-up IDs are written Q-FU-IAM-01.</t>
  </si>
  <si>
    <t xml:space="preserve">Where the detail lives</t>
  </si>
  <si>
    <t xml:space="preserve">Follow-up workbook: 06-follow-up-assessment/follow-up-workbook.xlsx. The initial assessment workbook: 05-assessment/assessment-workbook.xlsx.</t>
  </si>
  <si>
    <t xml:space="preserve">Thread</t>
  </si>
  <si>
    <t xml:space="preserve">Flow</t>
  </si>
  <si>
    <t xml:space="preserve">Observation or claim</t>
  </si>
  <si>
    <t xml:space="preserve">Risk</t>
  </si>
  <si>
    <t xml:space="preserve">Control requirement</t>
  </si>
  <si>
    <t xml:space="preserve">Framework references</t>
  </si>
  <si>
    <t xml:space="preserve">Questions (initial)</t>
  </si>
  <si>
    <t xml:space="preserve">Questions (follow-up)</t>
  </si>
  <si>
    <t xml:space="preserve">Vendor answer (initial)</t>
  </si>
  <si>
    <t xml:space="preserve">Vendor reply (follow-up)</t>
  </si>
  <si>
    <t xml:space="preserve">Evidence</t>
  </si>
  <si>
    <t xml:space="preserve">Rating (initial or new)</t>
  </si>
  <si>
    <t xml:space="preserve">Status after the follow-up</t>
  </si>
  <si>
    <t xml:space="preserve">Severity after the follow-up</t>
  </si>
  <si>
    <t xml:space="preserve">Finding</t>
  </si>
  <si>
    <t xml:space="preserve">Severity (initial or new)</t>
  </si>
  <si>
    <t xml:space="preserve">Remediation</t>
  </si>
  <si>
    <t xml:space="preserve">Treatment</t>
  </si>
  <si>
    <t xml:space="preserve">Decision condition</t>
  </si>
  <si>
    <t xml:space="preserve">T-01</t>
  </si>
  <si>
    <t xml:space="preserve">FA, F3, F6, F11</t>
  </si>
  <si>
    <t xml:space="preserve">X2, V7</t>
  </si>
  <si>
    <t xml:space="preserve">RR-01</t>
  </si>
  <si>
    <t xml:space="preserve">CR-03</t>
  </si>
  <si>
    <t xml:space="preserve">CR-03: DORA Art 9; GDPR Art 32; ISO A.5.17; A.8.24</t>
  </si>
  <si>
    <t xml:space="preserve">Q-E3, Q-O3</t>
  </si>
  <si>
    <t xml:space="preserve">Q-FU-IAM-02</t>
  </si>
  <si>
    <t xml:space="preserve">Credentials in a key vault, but 11 staff can read them</t>
  </si>
  <si>
    <t xml:space="preserve">Read access cut to 3 roles, two-person approval</t>
  </si>
  <si>
    <t xml:space="preserve">EV-06 | EV-28, EV-26</t>
  </si>
  <si>
    <t xml:space="preserve">Partial</t>
  </si>
  <si>
    <t xml:space="preserve">Closed</t>
  </si>
  <si>
    <t xml:space="preserve">FND-01</t>
  </si>
  <si>
    <t xml:space="preserve">High</t>
  </si>
  <si>
    <t xml:space="preserve">REM-01</t>
  </si>
  <si>
    <t xml:space="preserve">Mitigate</t>
  </si>
  <si>
    <t xml:space="preserve">Pre-go-live</t>
  </si>
  <si>
    <t xml:space="preserve">T-02</t>
  </si>
  <si>
    <t xml:space="preserve">CR-04</t>
  </si>
  <si>
    <t xml:space="preserve">CR-04: DORA Art 9; GDPR Art 32; ISO A.5.17</t>
  </si>
  <si>
    <t xml:space="preserve">Q-O4</t>
  </si>
  <si>
    <t xml:space="preserve">Q-FU-IAM-03, Q-FU-IAM-04</t>
  </si>
  <si>
    <t xml:space="preserve">Annual manual rotation, revocation in 2 business days</t>
  </si>
  <si>
    <t xml:space="preserve">90-day automated rotation, revocation in 4 hours, no self-service</t>
  </si>
  <si>
    <t xml:space="preserve">EV-06 | EV-29, EV-30</t>
  </si>
  <si>
    <t xml:space="preserve">Gap</t>
  </si>
  <si>
    <t xml:space="preserve">Partly closed</t>
  </si>
  <si>
    <t xml:space="preserve">Medium</t>
  </si>
  <si>
    <t xml:space="preserve">FND-02</t>
  </si>
  <si>
    <t xml:space="preserve">REM-02</t>
  </si>
  <si>
    <t xml:space="preserve">T-03</t>
  </si>
  <si>
    <t xml:space="preserve">FA, F3, F6, F11, F7</t>
  </si>
  <si>
    <t xml:space="preserve">X1, V7</t>
  </si>
  <si>
    <t xml:space="preserve">CR-01, CR-02</t>
  </si>
  <si>
    <t xml:space="preserve">CR-01: DORA Art 9; GDPR Art 32; ISO A.8.20; A.8.22 | CR-02: DORA Art 9; GDPR Art 32; ISO A.8.5; A.8.24</t>
  </si>
  <si>
    <t xml:space="preserve">Q-H1, Q-O1, Q-O2</t>
  </si>
  <si>
    <t xml:space="preserve">Q-FU-CRY-03, Q-H2</t>
  </si>
  <si>
    <t xml:space="preserve">Fixed IPs and short-lived tokens, no mutual TLS</t>
  </si>
  <si>
    <t xml:space="preserve">No mutual TLS. Private-key JWT and IP allow-list. Acceptance signed</t>
  </si>
  <si>
    <t xml:space="preserve">EV-08 | EV-37</t>
  </si>
  <si>
    <t xml:space="preserve">Risk accepted (signed)</t>
  </si>
  <si>
    <t xml:space="preserve">FND-09</t>
  </si>
  <si>
    <t xml:space="preserve">REM-09</t>
  </si>
  <si>
    <t xml:space="preserve">Mitigate or accept with sign-off</t>
  </si>
  <si>
    <t xml:space="preserve">Within 90 days</t>
  </si>
  <si>
    <t xml:space="preserve">T-04</t>
  </si>
  <si>
    <t xml:space="preserve">F7, F8</t>
  </si>
  <si>
    <t xml:space="preserve">X3</t>
  </si>
  <si>
    <t xml:space="preserve">RR-04</t>
  </si>
  <si>
    <t xml:space="preserve">CR-11</t>
  </si>
  <si>
    <t xml:space="preserve">CR-11: DORA Art 9; GDPR n/a; ISO A.8.26; A.8.32</t>
  </si>
  <si>
    <t xml:space="preserve">Q-G1, Q-G2, Q-G4, Q-G5</t>
  </si>
  <si>
    <t xml:space="preserve">Q-G3</t>
  </si>
  <si>
    <t xml:space="preserve">Staging queue only, files unsigned, no call-back</t>
  </si>
  <si>
    <t xml:space="preserve">Signing planned Q1 2027. Bank call-back approved</t>
  </si>
  <si>
    <t xml:space="preserve">EV-16 | none</t>
  </si>
  <si>
    <t xml:space="preserve">Low</t>
  </si>
  <si>
    <t xml:space="preserve">FND-21</t>
  </si>
  <si>
    <t xml:space="preserve">REM-21</t>
  </si>
  <si>
    <t xml:space="preserve">T-05</t>
  </si>
  <si>
    <t xml:space="preserve">FS, FG, F10</t>
  </si>
  <si>
    <t xml:space="preserve">X4</t>
  </si>
  <si>
    <t xml:space="preserve">RR-14</t>
  </si>
  <si>
    <t xml:space="preserve">CR-07</t>
  </si>
  <si>
    <t xml:space="preserve">CR-07: DORA Art 9; GDPR Art 32; ISO A.5.16; A.5.17; A.8.5</t>
  </si>
  <si>
    <t xml:space="preserve">Q-B1, Q-B2, Q-B3</t>
  </si>
  <si>
    <t xml:space="preserve">Q-FU-IAM-01, Q-B4</t>
  </si>
  <si>
    <t xml:space="preserve">SSO enforced, break-glass accounts not vaulted</t>
  </si>
  <si>
    <t xml:space="preserve">Break-glass vaulted with two-person approval</t>
  </si>
  <si>
    <t xml:space="preserve">EV-05 | EV-43</t>
  </si>
  <si>
    <t xml:space="preserve">FND-18</t>
  </si>
  <si>
    <t xml:space="preserve">REM-18</t>
  </si>
  <si>
    <t xml:space="preserve">T-06</t>
  </si>
  <si>
    <t xml:space="preserve">FV</t>
  </si>
  <si>
    <t xml:space="preserve">X5, V6, V8</t>
  </si>
  <si>
    <t xml:space="preserve">RR-02</t>
  </si>
  <si>
    <t xml:space="preserve">CR-09, CR-14</t>
  </si>
  <si>
    <t xml:space="preserve">CR-09: DORA Art 9; GDPR Art 28(3)(b); Art 32; ISO A.8.2; A.8.15 | CR-14: DORA Art 30(2)(b); GDPR Arts 44 to 49; ISO A.5.34; A.5.23; Regional rules (R9)</t>
  </si>
  <si>
    <t xml:space="preserve">Q-D2, Q-D4, Q-I2, Q-T1</t>
  </si>
  <si>
    <t xml:space="preserve">Q-FU-IAM-01, Q-FU-PRV-02, Q-FU-PPL-01</t>
  </si>
  <si>
    <t xml:space="preserve">Standing access from India, no transfer assessment</t>
  </si>
  <si>
    <t xml:space="preserve">Just-in-time access live. India assessment given. Masking by Apr 2027</t>
  </si>
  <si>
    <t xml:space="preserve">EV-09, EV-10 | EV-26, EV-27, EV-31</t>
  </si>
  <si>
    <t xml:space="preserve">FND-03</t>
  </si>
  <si>
    <t xml:space="preserve">REM-03</t>
  </si>
  <si>
    <t xml:space="preserve">T-07</t>
  </si>
  <si>
    <t xml:space="preserve">FN, FL</t>
  </si>
  <si>
    <t xml:space="preserve">X6</t>
  </si>
  <si>
    <t xml:space="preserve">RR-09</t>
  </si>
  <si>
    <t xml:space="preserve">CR-14, CR-15</t>
  </si>
  <si>
    <t xml:space="preserve">CR-14: DORA Art 30(2)(b); GDPR Arts 44 to 49; ISO A.5.34; A.5.23; Regional rules (R9) | CR-15: DORA Art 10; GDPR Art 32; Art 33(2); ISO A.8.15; A.8.16; A.8.11</t>
  </si>
  <si>
    <t xml:space="preserve">Q-I6</t>
  </si>
  <si>
    <t xml:space="preserve">Q-FU-MON-02</t>
  </si>
  <si>
    <t xml:space="preserve">Free text not redacted, US monitoring provider</t>
  </si>
  <si>
    <t xml:space="preserve">Free-text redaction live</t>
  </si>
  <si>
    <t xml:space="preserve">EV-18 | EV-40</t>
  </si>
  <si>
    <t xml:space="preserve">FND-13</t>
  </si>
  <si>
    <t xml:space="preserve">REM-13</t>
  </si>
  <si>
    <t xml:space="preserve">T-08</t>
  </si>
  <si>
    <t xml:space="preserve">F5a to F5d, F9, F12</t>
  </si>
  <si>
    <t xml:space="preserve">X7, X12, V9</t>
  </si>
  <si>
    <t xml:space="preserve">RR-10</t>
  </si>
  <si>
    <t xml:space="preserve">CR-16</t>
  </si>
  <si>
    <t xml:space="preserve">CR-16: DORA Art 28(3); Art 28(4); Art 30(2)(a); GDPR Art 28(2); Art 28(4); ISO A.5.19; A.5.21; A.5.22</t>
  </si>
  <si>
    <t xml:space="preserve">Q-K1, Q-K3, Q-K4, Q-K5</t>
  </si>
  <si>
    <t xml:space="preserve">Q-FU-TPR-01, Q-FU-TPR-02, Q-K2</t>
  </si>
  <si>
    <t xml:space="preserve">Notice only for material changes, supplier retention 12 months</t>
  </si>
  <si>
    <t xml:space="preserve">Redline: notice and objection for all changes. Unsigned</t>
  </si>
  <si>
    <t xml:space="preserve">EV-10, EV-12 | EV-45</t>
  </si>
  <si>
    <t xml:space="preserve">Open (agreed, unsigned)</t>
  </si>
  <si>
    <t xml:space="preserve">FND-12</t>
  </si>
  <si>
    <t xml:space="preserve">REM-12</t>
  </si>
  <si>
    <t xml:space="preserve">T-09</t>
  </si>
  <si>
    <t xml:space="preserve">F9</t>
  </si>
  <si>
    <t xml:space="preserve">X8</t>
  </si>
  <si>
    <t xml:space="preserve">RR-16</t>
  </si>
  <si>
    <t xml:space="preserve">CR-17</t>
  </si>
  <si>
    <t xml:space="preserve">CR-17: DORA Art 9; Art 11; GDPR Art 5(1)(d); Art 9; Art 32; ISO A.8.26; A.5.34; A.5.30</t>
  </si>
  <si>
    <t xml:space="preserve">Q-U1, Q-U2, Q-U3</t>
  </si>
  <si>
    <t xml:space="preserve">none</t>
  </si>
  <si>
    <t xml:space="preserve">Schema validation, long retention of assistance data</t>
  </si>
  <si>
    <t xml:space="preserve">Retention 12 months. Alert live</t>
  </si>
  <si>
    <t xml:space="preserve">EV-25 | EV-42</t>
  </si>
  <si>
    <t xml:space="preserve">FND-17</t>
  </si>
  <si>
    <t xml:space="preserve">REM-17</t>
  </si>
  <si>
    <t xml:space="preserve">T-10</t>
  </si>
  <si>
    <t xml:space="preserve">F10, F11</t>
  </si>
  <si>
    <t xml:space="preserve">X9</t>
  </si>
  <si>
    <t xml:space="preserve">RR-05</t>
  </si>
  <si>
    <t xml:space="preserve">CR-18</t>
  </si>
  <si>
    <t xml:space="preserve">CR-18: DORA Art 9; GDPR n/a; ISO A.8.32; A.5.3; Allowance tax rules (R10)</t>
  </si>
  <si>
    <t xml:space="preserve">Q-Q1, Q-D3, Q-Q2</t>
  </si>
  <si>
    <t xml:space="preserve">Q-F1</t>
  </si>
  <si>
    <t xml:space="preserve">One person can change rates, no approval</t>
  </si>
  <si>
    <t xml:space="preserve">Four-eyes planned Q2 2027. Weekly review meanwhile</t>
  </si>
  <si>
    <t xml:space="preserve">EV-15 | none</t>
  </si>
  <si>
    <t xml:space="preserve">Open</t>
  </si>
  <si>
    <t xml:space="preserve">FND-07</t>
  </si>
  <si>
    <t xml:space="preserve">REM-07</t>
  </si>
  <si>
    <t xml:space="preserve">T-11</t>
  </si>
  <si>
    <t xml:space="preserve">FG</t>
  </si>
  <si>
    <t xml:space="preserve">X10</t>
  </si>
  <si>
    <t xml:space="preserve">CR-12, CR-21</t>
  </si>
  <si>
    <t xml:space="preserve">CR-12: DORA Art 30(2)(c); Art 30(2)(d); GDPR Art 5(1)(c); Art 5(1)(e); Art 32; ISO A.5.34; A.8.10; A.8.33 | CR-21: DORA Art 9; GDPR Art 5(1)(c); Art 5(1)(e); ISO A.5.3; A.5.15</t>
  </si>
  <si>
    <t xml:space="preserve">Q-I7, Q-F4</t>
  </si>
  <si>
    <t xml:space="preserve">Q-FU-PRV-03</t>
  </si>
  <si>
    <t xml:space="preserve">Guest data kept 24 months</t>
  </si>
  <si>
    <t xml:space="preserve">90-day deletion live</t>
  </si>
  <si>
    <t xml:space="preserve">EV-17 | EV-39</t>
  </si>
  <si>
    <t xml:space="preserve">FND-11</t>
  </si>
  <si>
    <t xml:space="preserve">REM-11</t>
  </si>
  <si>
    <t xml:space="preserve">T-12</t>
  </si>
  <si>
    <t xml:space="preserve">F12</t>
  </si>
  <si>
    <t xml:space="preserve">X11, V3</t>
  </si>
  <si>
    <t xml:space="preserve">RR-06</t>
  </si>
  <si>
    <t xml:space="preserve">CR-20</t>
  </si>
  <si>
    <t xml:space="preserve">CR-20: DORA Art 9; Art 28(4); GDPR n/a; ISO A.5.22; A.8.24; PCI DSS (R7)</t>
  </si>
  <si>
    <t xml:space="preserve">Q-P1, Q-P2, Q-P3, Q-P4</t>
  </si>
  <si>
    <t xml:space="preserve">Tokens only, vendor attestation missing</t>
  </si>
  <si>
    <t xml:space="preserve">Assessor letter: out of PCI scope. Card Provider Y attestation valid</t>
  </si>
  <si>
    <t xml:space="preserve">EV-04, EV-23 | EV-35, EV-04</t>
  </si>
  <si>
    <t xml:space="preserve">FND-06</t>
  </si>
  <si>
    <t xml:space="preserve">REM-06</t>
  </si>
  <si>
    <t xml:space="preserve">Avoid until attested, then mitigate</t>
  </si>
  <si>
    <t xml:space="preserve">Feature gate</t>
  </si>
  <si>
    <t xml:space="preserve">T-13</t>
  </si>
  <si>
    <t xml:space="preserve">New flow FI (PF-1)</t>
  </si>
  <si>
    <t xml:space="preserve">V13</t>
  </si>
  <si>
    <t xml:space="preserve">RR-03</t>
  </si>
  <si>
    <t xml:space="preserve">CR-28, CR-16</t>
  </si>
  <si>
    <t xml:space="preserve">CR-28: DORA Art 28(3); Art 30(2)(a); GDPR Art 5(1)(b); Art 28(2); ISO A.5.19; A.5.21; A.8.26; ISO/IEC 42001, EU AI Act (to check) | CR-16: DORA Art 28(3); Art 28(4); Art 30(2)(a); GDPR Art 28(2); Art 28(4); ISO A.5.19; A.5.21; A.5.22</t>
  </si>
  <si>
    <t xml:space="preserve">Q-W1, Q-W2, Q-W3, Q-K1, Q-A3</t>
  </si>
  <si>
    <t xml:space="preserve">Q-FU-AIS-01, Q-FU-AIS-02, Q-FU-AIS-03, Q-FU-AIS-04</t>
  </si>
  <si>
    <t xml:space="preserve">Undisclosed US AI provider, 30-day prompt retention</t>
  </si>
  <si>
    <t xml:space="preserve">Provider named. Feature off for the bank. Prompts not fully masked</t>
  </si>
  <si>
    <t xml:space="preserve">EV-10, EV-11 | EV-32, EV-33</t>
  </si>
  <si>
    <t xml:space="preserve">Closed for go-live scope</t>
  </si>
  <si>
    <t xml:space="preserve">FND-04</t>
  </si>
  <si>
    <t xml:space="preserve">REM-04</t>
  </si>
  <si>
    <t xml:space="preserve">Avoid (feature off), then mitigate</t>
  </si>
  <si>
    <t xml:space="preserve">T-14</t>
  </si>
  <si>
    <t xml:space="preserve">All</t>
  </si>
  <si>
    <t xml:space="preserve">V1, V2, V4</t>
  </si>
  <si>
    <t xml:space="preserve">RR-12</t>
  </si>
  <si>
    <t xml:space="preserve">CR-23</t>
  </si>
  <si>
    <t xml:space="preserve">CR-23: DORA Art 28(4); Art 30(3)(d); GDPR Art 28(1); Art 32(1)(d); ISO A.5.22; A.8.8; A.8.29; ISO 27001 and SOC 2 (R8)</t>
  </si>
  <si>
    <t xml:space="preserve">Q-L1, Q-L2</t>
  </si>
  <si>
    <t xml:space="preserve">Q-FU-GRC-01, Q-FU-VUL-02</t>
  </si>
  <si>
    <t xml:space="preserve">SOC 2 outdated and narrow, penetration test good</t>
  </si>
  <si>
    <t xml:space="preserve">Bridge letter given. SOC 2 exceptions and carve-outs found</t>
  </si>
  <si>
    <t xml:space="preserve">EV-01, EV-02, EV-03 | EV-36</t>
  </si>
  <si>
    <t xml:space="preserve">FND-08</t>
  </si>
  <si>
    <t xml:space="preserve">REM-08</t>
  </si>
  <si>
    <t xml:space="preserve">T-15</t>
  </si>
  <si>
    <t xml:space="preserve">FH, All</t>
  </si>
  <si>
    <t xml:space="preserve">V5</t>
  </si>
  <si>
    <t xml:space="preserve">RR-07, RR-08</t>
  </si>
  <si>
    <t xml:space="preserve">CR-24</t>
  </si>
  <si>
    <t xml:space="preserve">CR-24: DORA Art 11; Art 12; Art 17; Art 30(2)(e); Art 30(2)(f); Art 30(3)(a); GDPR Art 32(1)(b); Art 32(1)(c); Art 33(2); ISO A.5.24; A.5.26; A.5.30; A.8.13; A.8.14</t>
  </si>
  <si>
    <t xml:space="preserve">Q-M1, Q-M2, Q-N4</t>
  </si>
  <si>
    <t xml:space="preserve">Q-FU-BCD-02, Q-FU-INC-03</t>
  </si>
  <si>
    <t xml:space="preserve">Failover 6 hours, notice 72 hours, no rate card</t>
  </si>
  <si>
    <t xml:space="preserve">Recovery test 3 h 40 min. 48-hour notice offered. Rate card given</t>
  </si>
  <si>
    <t xml:space="preserve">EV-13, EV-19, EV-12 | EV-38, EV-46</t>
  </si>
  <si>
    <t xml:space="preserve">Closed; Partly closed</t>
  </si>
  <si>
    <t xml:space="preserve">FND-10, FND-16</t>
  </si>
  <si>
    <t xml:space="preserve">REM-10, REM-16</t>
  </si>
  <si>
    <t xml:space="preserve">Mitigate and transfer (contract)</t>
  </si>
  <si>
    <t xml:space="preserve">Pre-go-live and 90 days</t>
  </si>
  <si>
    <t xml:space="preserve">T-16</t>
  </si>
  <si>
    <t xml:space="preserve">R1</t>
  </si>
  <si>
    <t xml:space="preserve">RR-11</t>
  </si>
  <si>
    <t xml:space="preserve">CR-25, CR-06</t>
  </si>
  <si>
    <t xml:space="preserve">CR-25: DORA Art 30(2); Art 30(3); Art 28(7); GDPR Art 28(3); ISO A.5.20 | CR-06: DORA Art 28(8); Art 30(2)(d); GDPR Art 28(3)(g); ISO A.5.18; A.5.20</t>
  </si>
  <si>
    <t xml:space="preserve">Q-N7, Q-N5, Q-M3, Q-O7</t>
  </si>
  <si>
    <t xml:space="preserve">Q-N2, Q-N6</t>
  </si>
  <si>
    <t xml:space="preserve">Audit rights limited, no insolvency clause, exit untested</t>
  </si>
  <si>
    <t xml:space="preserve">Audit counter-proposal. Insolvency clause agreed, unsigned</t>
  </si>
  <si>
    <t xml:space="preserve">EV-12 | EV-34, EV-45</t>
  </si>
  <si>
    <t xml:space="preserve">Open; Open (agreed, unsigned)</t>
  </si>
  <si>
    <t xml:space="preserve">FND-05, FND-15</t>
  </si>
  <si>
    <t xml:space="preserve">REM-05, REM-15</t>
  </si>
  <si>
    <t xml:space="preserve">Transfer (contract) and mitigate</t>
  </si>
  <si>
    <t xml:space="preserve">T-17</t>
  </si>
  <si>
    <t xml:space="preserve">F4</t>
  </si>
  <si>
    <t xml:space="preserve">V10</t>
  </si>
  <si>
    <t xml:space="preserve">CR-12</t>
  </si>
  <si>
    <t xml:space="preserve">CR-12: DORA Art 30(2)(c); Art 30(2)(d); GDPR Art 5(1)(c); Art 5(1)(e); Art 32; ISO A.5.34; A.8.10; A.8.33</t>
  </si>
  <si>
    <t xml:space="preserve">Q-I5</t>
  </si>
  <si>
    <t xml:space="preserve">Q-FU-CLD-04</t>
  </si>
  <si>
    <t xml:space="preserve">Production data in test three times</t>
  </si>
  <si>
    <t xml:space="preserve">Masked data tooling live</t>
  </si>
  <si>
    <t xml:space="preserve">EV-20 | EV-41</t>
  </si>
  <si>
    <t xml:space="preserve">FND-14</t>
  </si>
  <si>
    <t xml:space="preserve">REM-14</t>
  </si>
  <si>
    <t xml:space="preserve">T-18</t>
  </si>
  <si>
    <t xml:space="preserve">FV, FS</t>
  </si>
  <si>
    <t xml:space="preserve">Stage 1 F5</t>
  </si>
  <si>
    <t xml:space="preserve">RR-13</t>
  </si>
  <si>
    <t xml:space="preserve">CR-10</t>
  </si>
  <si>
    <t xml:space="preserve">CR-10: DORA Art 9; GDPR Art 32; ISO A.8.3; A.5.15</t>
  </si>
  <si>
    <t xml:space="preserve">Q-D5</t>
  </si>
  <si>
    <t xml:space="preserve">Support sees VIP profiles unmasked</t>
  </si>
  <si>
    <t xml:space="preserve">VIP masking live</t>
  </si>
  <si>
    <t xml:space="preserve">EV-44</t>
  </si>
  <si>
    <t xml:space="preserve">FND-19</t>
  </si>
  <si>
    <t xml:space="preserve">REM-19</t>
  </si>
  <si>
    <t xml:space="preserve">T-19</t>
  </si>
  <si>
    <t xml:space="preserve">FH</t>
  </si>
  <si>
    <t xml:space="preserve">R9</t>
  </si>
  <si>
    <t xml:space="preserve">RR-15</t>
  </si>
  <si>
    <t xml:space="preserve">CR-14</t>
  </si>
  <si>
    <t xml:space="preserve">CR-14: DORA Art 30(2)(b); GDPR Arts 44 to 49; ISO A.5.34; A.5.23; Regional rules (R9)</t>
  </si>
  <si>
    <t xml:space="preserve">Q-T2</t>
  </si>
  <si>
    <t xml:space="preserve">Q-FU-PHY-01</t>
  </si>
  <si>
    <t xml:space="preserve">EU-only hosting</t>
  </si>
  <si>
    <t xml:space="preserve">No regional hosting before 2028. EU-first rollout</t>
  </si>
  <si>
    <t xml:space="preserve">FND-20</t>
  </si>
  <si>
    <t xml:space="preserve">REM-20</t>
  </si>
  <si>
    <t xml:space="preserve">Avoid (EU first), then mitigate</t>
  </si>
  <si>
    <t xml:space="preserve">T-20</t>
  </si>
  <si>
    <t xml:space="preserve">F3, F5a, FS</t>
  </si>
  <si>
    <t xml:space="preserve">S11, Stage 1 R5</t>
  </si>
  <si>
    <t xml:space="preserve">RR-17</t>
  </si>
  <si>
    <t xml:space="preserve">CR-19, CR-08</t>
  </si>
  <si>
    <t xml:space="preserve">CR-19: DORA Art 9; GDPR Art 32; ISO A.5.3; A.5.15; Anti-bribery and gifts policy (R5) | CR-08: DORA Art 9; GDPR Art 32; ISO A.5.16; A.5.18; A.6.5</t>
  </si>
  <si>
    <t xml:space="preserve">Q-Q4, Q-Q5, Q-C5</t>
  </si>
  <si>
    <t xml:space="preserve">No access or usage reports</t>
  </si>
  <si>
    <t xml:space="preserve">Reports in Q2 2027</t>
  </si>
  <si>
    <t xml:space="preserve">FND-22</t>
  </si>
  <si>
    <t xml:space="preserve">REM-22</t>
  </si>
  <si>
    <t xml:space="preserve">Accept and track</t>
  </si>
  <si>
    <t xml:space="preserve">Track</t>
  </si>
  <si>
    <t xml:space="preserve">T-21</t>
  </si>
  <si>
    <t xml:space="preserve">FH, backups</t>
  </si>
  <si>
    <t xml:space="preserve">V6</t>
  </si>
  <si>
    <t xml:space="preserve">RR-18</t>
  </si>
  <si>
    <t xml:space="preserve">CR-14, CR-30</t>
  </si>
  <si>
    <t xml:space="preserve">CR-14: DORA Art 30(2)(b); GDPR Arts 44 to 49; ISO A.5.34; A.5.23; Regional rules (R9) | CR-30: DORA Art 9; GDPR Art 32; ISO A.5.23; A.8.9; A.8.20; A.8.22; A.7.1</t>
  </si>
  <si>
    <t xml:space="preserve">none (not asked in the initial assessment)</t>
  </si>
  <si>
    <t xml:space="preserve">Q-FU-DAT-02, Q-FU-CLD-03, Q-FU-PHY-01</t>
  </si>
  <si>
    <t xml:space="preserve">Not asked</t>
  </si>
  <si>
    <t xml:space="preserve">US archive region with cold backups since 2025</t>
  </si>
  <si>
    <t xml:space="preserve">EV-47, EV-66</t>
  </si>
  <si>
    <t xml:space="preserve">FND-23</t>
  </si>
  <si>
    <t xml:space="preserve">REM-23</t>
  </si>
  <si>
    <t xml:space="preserve">T-22</t>
  </si>
  <si>
    <t xml:space="preserve">Pipeline, repositories</t>
  </si>
  <si>
    <t xml:space="preserve">new</t>
  </si>
  <si>
    <t xml:space="preserve">RR-19</t>
  </si>
  <si>
    <t xml:space="preserve">CR-29</t>
  </si>
  <si>
    <t xml:space="preserve">CR-29: DORA Art 9; Art 24; GDPR Art 25; Art 32; ISO A.8.25; A.8.28; A.8.29; A.8.32; OWASP ASVS (reference)</t>
  </si>
  <si>
    <t xml:space="preserve">Q-FU-APP-01 to Q-FU-APP-07, Q-FU-CHG-01, Q-FU-VUL-03</t>
  </si>
  <si>
    <t xml:space="preserve">High scan findings beyond target. Branch rules bypassable. Bill of materials declined. No disclosure programme</t>
  </si>
  <si>
    <t xml:space="preserve">EV-48, EV-49, EV-50, EV-51, EV-53, OS-10</t>
  </si>
  <si>
    <t xml:space="preserve">FND-24, FND-25, FND-26, FND-33</t>
  </si>
  <si>
    <t xml:space="preserve">REM-24, REM-25, REM-26, REM-33</t>
  </si>
  <si>
    <t xml:space="preserve">Within 90 days and track</t>
  </si>
  <si>
    <t xml:space="preserve">T-23</t>
  </si>
  <si>
    <t xml:space="preserve">DS1 to DS5</t>
  </si>
  <si>
    <t xml:space="preserve">RR-20</t>
  </si>
  <si>
    <t xml:space="preserve">CR-31</t>
  </si>
  <si>
    <t xml:space="preserve">CR-31: DORA Art 9; GDPR Art 32(1)(a); ISO A.8.24</t>
  </si>
  <si>
    <t xml:space="preserve">Q-FU-CRY-01, Q-FU-CRY-02, Q-FU-DAT-03</t>
  </si>
  <si>
    <t xml:space="preserve">Provider-managed keys, no separation of key custodians</t>
  </si>
  <si>
    <t xml:space="preserve">EV-66</t>
  </si>
  <si>
    <t xml:space="preserve">FND-27</t>
  </si>
  <si>
    <t xml:space="preserve">REM-27</t>
  </si>
  <si>
    <t xml:space="preserve">T-24</t>
  </si>
  <si>
    <t xml:space="preserve">L1</t>
  </si>
  <si>
    <t xml:space="preserve">Q-L1</t>
  </si>
  <si>
    <t xml:space="preserve">Q-FU-GRC-01</t>
  </si>
  <si>
    <t xml:space="preserve">SOC 2 outdated and narrow</t>
  </si>
  <si>
    <t xml:space="preserve">Two exceptions, cloud provider carved out, 14 customer controls</t>
  </si>
  <si>
    <t xml:space="preserve">EV-60</t>
  </si>
  <si>
    <t xml:space="preserve">FND-28</t>
  </si>
  <si>
    <t xml:space="preserve">REM-28</t>
  </si>
  <si>
    <t xml:space="preserve">T-25</t>
  </si>
  <si>
    <t xml:space="preserve">RR-21</t>
  </si>
  <si>
    <t xml:space="preserve">CR-32</t>
  </si>
  <si>
    <t xml:space="preserve">CR-32: DORA Art 9; GDPR Art 32; ISO A.6.1; A.6.3; A.8.1; A.7.2</t>
  </si>
  <si>
    <t xml:space="preserve">Q-FU-PPL-01, Q-FU-DAT-04</t>
  </si>
  <si>
    <t xml:space="preserve">India screening limited, no endpoint data loss prevention, USB allowed</t>
  </si>
  <si>
    <t xml:space="preserve">EV-64</t>
  </si>
  <si>
    <t xml:space="preserve">FND-30</t>
  </si>
  <si>
    <t xml:space="preserve">REM-30</t>
  </si>
  <si>
    <t xml:space="preserve">T-26</t>
  </si>
  <si>
    <t xml:space="preserve">Q-M1, Q-M2</t>
  </si>
  <si>
    <t xml:space="preserve">Q-FU-BCD-03, Q-FU-INC-01, Q-FU-INC-02</t>
  </si>
  <si>
    <t xml:space="preserve">Failover 6 hours, notice 72 hours</t>
  </si>
  <si>
    <t xml:space="preserve">No restore test since Aug 2025. Last exercise Mar 2025. The 2024 incident was notified after 52 hours</t>
  </si>
  <si>
    <t xml:space="preserve">EV-47, EV-63</t>
  </si>
  <si>
    <t xml:space="preserve">FND-29, FND-31</t>
  </si>
  <si>
    <t xml:space="preserve">REM-29, REM-31</t>
  </si>
  <si>
    <t xml:space="preserve">T-27</t>
  </si>
  <si>
    <t xml:space="preserve">RR-08</t>
  </si>
  <si>
    <t xml:space="preserve">CR-33</t>
  </si>
  <si>
    <t xml:space="preserve">CR-33: DORA Art 28(4); Art 30(2); GDPR Art 28(1); ISO A.5.22; A.5.31; Anti-bribery policy (R5)</t>
  </si>
  <si>
    <t xml:space="preserve">Q-FU-GRC-02</t>
  </si>
  <si>
    <t xml:space="preserve">Cyber cover EUR 10 million. Contract cap about EUR 0.4 million</t>
  </si>
  <si>
    <t xml:space="preserve">EV-61</t>
  </si>
  <si>
    <t xml:space="preserve">In progress</t>
  </si>
  <si>
    <t xml:space="preserve">FND-32</t>
  </si>
  <si>
    <t xml:space="preserve">REM-32</t>
  </si>
  <si>
    <t xml:space="preserve">Transfer (contract)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</si>
</sst>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3B4C"/>
        <bgColor rgb="FF333300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F3B4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DD97"/>
          <bgColor rgb="FF000000"/>
        </patternFill>
      </fill>
    </dxf>
    <dxf>
      <fill>
        <patternFill patternType="solid">
          <fgColor rgb="FFF7C1C1"/>
          <bgColor rgb="FF000000"/>
        </patternFill>
      </fill>
    </dxf>
    <dxf>
      <fill>
        <patternFill patternType="solid">
          <fgColor rgb="FFFAC775"/>
          <bgColor rgb="FF000000"/>
        </patternFill>
      </fill>
    </dxf>
    <dxf>
      <fill>
        <patternFill>
          <bgColor rgb="FFF7C1C1"/>
        </patternFill>
      </fill>
    </dxf>
    <dxf>
      <fill>
        <patternFill>
          <bgColor rgb="FFFAC775"/>
        </patternFill>
      </fill>
    </dxf>
    <dxf>
      <fill>
        <patternFill>
          <bgColor rgb="FFC0DD9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0DD97"/>
      <rgbColor rgb="FFFFFF99"/>
      <rgbColor rgb="FF99CCFF"/>
      <rgbColor rgb="FFF7C1C1"/>
      <rgbColor rgb="FFCC99FF"/>
      <rgbColor rgb="FFFAC77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23.8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23.85" hidden="false" customHeight="false" outlineLevel="0" collapsed="false">
      <c r="A6" s="2" t="s">
        <v>9</v>
      </c>
      <c r="B6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50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38"/>
    <col collapsed="false" customWidth="true" hidden="false" outlineLevel="0" max="10" min="10" style="0" width="40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3" min="13" style="0" width="22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24"/>
    <col collapsed="false" customWidth="true" hidden="false" outlineLevel="0" max="19" min="19" style="0" width="18"/>
  </cols>
  <sheetData>
    <row r="1" customFormat="false" ht="17.35" hidden="false" customHeight="false" outlineLevel="0" collapsed="false">
      <c r="A1" s="1" t="s">
        <v>0</v>
      </c>
    </row>
    <row r="3" customFormat="false" ht="35.0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23</v>
      </c>
      <c r="N3" s="4" t="s">
        <v>24</v>
      </c>
      <c r="O3" s="4" t="s">
        <v>25</v>
      </c>
      <c r="P3" s="4" t="s">
        <v>26</v>
      </c>
      <c r="Q3" s="4" t="s">
        <v>27</v>
      </c>
      <c r="R3" s="4" t="s">
        <v>28</v>
      </c>
      <c r="S3" s="4" t="s">
        <v>29</v>
      </c>
    </row>
    <row r="4" customFormat="false" ht="23.85" hidden="false" customHeight="false" outlineLevel="0" collapsed="false">
      <c r="A4" s="5" t="s">
        <v>30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42</v>
      </c>
      <c r="O4" s="6" t="s">
        <v>43</v>
      </c>
      <c r="P4" s="6" t="s">
        <v>44</v>
      </c>
      <c r="Q4" s="6" t="s">
        <v>45</v>
      </c>
      <c r="R4" s="6" t="s">
        <v>46</v>
      </c>
      <c r="S4" s="6" t="s">
        <v>47</v>
      </c>
    </row>
    <row r="5" customFormat="false" ht="23.85" hidden="false" customHeight="false" outlineLevel="0" collapsed="false">
      <c r="A5" s="5" t="s">
        <v>48</v>
      </c>
      <c r="B5" s="6" t="s">
        <v>31</v>
      </c>
      <c r="C5" s="6" t="s">
        <v>32</v>
      </c>
      <c r="D5" s="6" t="s">
        <v>33</v>
      </c>
      <c r="E5" s="6" t="s">
        <v>49</v>
      </c>
      <c r="F5" s="6" t="s">
        <v>50</v>
      </c>
      <c r="G5" s="6" t="s">
        <v>51</v>
      </c>
      <c r="H5" s="6" t="s">
        <v>52</v>
      </c>
      <c r="I5" s="6" t="s">
        <v>53</v>
      </c>
      <c r="J5" s="6" t="s">
        <v>54</v>
      </c>
      <c r="K5" s="6" t="s">
        <v>55</v>
      </c>
      <c r="L5" s="6" t="s">
        <v>56</v>
      </c>
      <c r="M5" s="6" t="s">
        <v>57</v>
      </c>
      <c r="N5" s="6" t="s">
        <v>58</v>
      </c>
      <c r="O5" s="6" t="s">
        <v>59</v>
      </c>
      <c r="P5" s="6" t="s">
        <v>44</v>
      </c>
      <c r="Q5" s="6" t="s">
        <v>60</v>
      </c>
      <c r="R5" s="6" t="s">
        <v>46</v>
      </c>
      <c r="S5" s="6" t="s">
        <v>47</v>
      </c>
    </row>
    <row r="6" customFormat="false" ht="23.85" hidden="false" customHeight="false" outlineLevel="0" collapsed="false">
      <c r="A6" s="5" t="s">
        <v>61</v>
      </c>
      <c r="B6" s="6" t="s">
        <v>62</v>
      </c>
      <c r="C6" s="6" t="s">
        <v>63</v>
      </c>
      <c r="D6" s="6" t="s">
        <v>33</v>
      </c>
      <c r="E6" s="6" t="s">
        <v>64</v>
      </c>
      <c r="F6" s="6" t="s">
        <v>65</v>
      </c>
      <c r="G6" s="6" t="s">
        <v>66</v>
      </c>
      <c r="H6" s="6" t="s">
        <v>67</v>
      </c>
      <c r="I6" s="6" t="s">
        <v>68</v>
      </c>
      <c r="J6" s="6" t="s">
        <v>69</v>
      </c>
      <c r="K6" s="6" t="s">
        <v>70</v>
      </c>
      <c r="L6" s="6" t="s">
        <v>41</v>
      </c>
      <c r="M6" s="6" t="s">
        <v>71</v>
      </c>
      <c r="N6" s="6" t="s">
        <v>42</v>
      </c>
      <c r="O6" s="6" t="s">
        <v>72</v>
      </c>
      <c r="P6" s="6" t="s">
        <v>58</v>
      </c>
      <c r="Q6" s="6" t="s">
        <v>73</v>
      </c>
      <c r="R6" s="6" t="s">
        <v>74</v>
      </c>
      <c r="S6" s="6" t="s">
        <v>75</v>
      </c>
    </row>
    <row r="7" customFormat="false" ht="23.85" hidden="false" customHeight="false" outlineLevel="0" collapsed="false">
      <c r="A7" s="5" t="s">
        <v>76</v>
      </c>
      <c r="B7" s="6" t="s">
        <v>77</v>
      </c>
      <c r="C7" s="6" t="s">
        <v>78</v>
      </c>
      <c r="D7" s="6" t="s">
        <v>79</v>
      </c>
      <c r="E7" s="6" t="s">
        <v>80</v>
      </c>
      <c r="F7" s="6" t="s">
        <v>81</v>
      </c>
      <c r="G7" s="6" t="s">
        <v>82</v>
      </c>
      <c r="H7" s="6" t="s">
        <v>83</v>
      </c>
      <c r="I7" s="6" t="s">
        <v>84</v>
      </c>
      <c r="J7" s="6" t="s">
        <v>85</v>
      </c>
      <c r="K7" s="6" t="s">
        <v>86</v>
      </c>
      <c r="L7" s="6" t="s">
        <v>56</v>
      </c>
      <c r="M7" s="6" t="s">
        <v>57</v>
      </c>
      <c r="N7" s="6" t="s">
        <v>87</v>
      </c>
      <c r="O7" s="6" t="s">
        <v>88</v>
      </c>
      <c r="P7" s="6" t="s">
        <v>58</v>
      </c>
      <c r="Q7" s="6" t="s">
        <v>89</v>
      </c>
      <c r="R7" s="6" t="s">
        <v>46</v>
      </c>
      <c r="S7" s="6" t="s">
        <v>75</v>
      </c>
    </row>
    <row r="8" customFormat="false" ht="23.85" hidden="false" customHeight="false" outlineLevel="0" collapsed="false">
      <c r="A8" s="5" t="s">
        <v>90</v>
      </c>
      <c r="B8" s="6" t="s">
        <v>91</v>
      </c>
      <c r="C8" s="6" t="s">
        <v>92</v>
      </c>
      <c r="D8" s="6" t="s">
        <v>93</v>
      </c>
      <c r="E8" s="6" t="s">
        <v>94</v>
      </c>
      <c r="F8" s="6" t="s">
        <v>95</v>
      </c>
      <c r="G8" s="6" t="s">
        <v>96</v>
      </c>
      <c r="H8" s="6" t="s">
        <v>97</v>
      </c>
      <c r="I8" s="6" t="s">
        <v>98</v>
      </c>
      <c r="J8" s="6" t="s">
        <v>99</v>
      </c>
      <c r="K8" s="6" t="s">
        <v>100</v>
      </c>
      <c r="L8" s="6" t="s">
        <v>41</v>
      </c>
      <c r="M8" s="6" t="s">
        <v>42</v>
      </c>
      <c r="N8" s="6" t="s">
        <v>42</v>
      </c>
      <c r="O8" s="6" t="s">
        <v>101</v>
      </c>
      <c r="P8" s="6" t="s">
        <v>58</v>
      </c>
      <c r="Q8" s="6" t="s">
        <v>102</v>
      </c>
      <c r="R8" s="6" t="s">
        <v>46</v>
      </c>
      <c r="S8" s="6" t="s">
        <v>75</v>
      </c>
    </row>
    <row r="9" customFormat="false" ht="35.05" hidden="false" customHeight="false" outlineLevel="0" collapsed="false">
      <c r="A9" s="5" t="s">
        <v>103</v>
      </c>
      <c r="B9" s="6" t="s">
        <v>104</v>
      </c>
      <c r="C9" s="6" t="s">
        <v>105</v>
      </c>
      <c r="D9" s="6" t="s">
        <v>106</v>
      </c>
      <c r="E9" s="6" t="s">
        <v>107</v>
      </c>
      <c r="F9" s="6" t="s">
        <v>108</v>
      </c>
      <c r="G9" s="6" t="s">
        <v>109</v>
      </c>
      <c r="H9" s="6" t="s">
        <v>110</v>
      </c>
      <c r="I9" s="6" t="s">
        <v>111</v>
      </c>
      <c r="J9" s="6" t="s">
        <v>112</v>
      </c>
      <c r="K9" s="6" t="s">
        <v>113</v>
      </c>
      <c r="L9" s="6" t="s">
        <v>56</v>
      </c>
      <c r="M9" s="6" t="s">
        <v>57</v>
      </c>
      <c r="N9" s="6" t="s">
        <v>58</v>
      </c>
      <c r="O9" s="6" t="s">
        <v>114</v>
      </c>
      <c r="P9" s="6" t="s">
        <v>44</v>
      </c>
      <c r="Q9" s="6" t="s">
        <v>115</v>
      </c>
      <c r="R9" s="6" t="s">
        <v>46</v>
      </c>
      <c r="S9" s="6" t="s">
        <v>47</v>
      </c>
    </row>
    <row r="10" customFormat="false" ht="35.05" hidden="false" customHeight="false" outlineLevel="0" collapsed="false">
      <c r="A10" s="5" t="s">
        <v>116</v>
      </c>
      <c r="B10" s="6" t="s">
        <v>117</v>
      </c>
      <c r="C10" s="6" t="s">
        <v>118</v>
      </c>
      <c r="D10" s="6" t="s">
        <v>119</v>
      </c>
      <c r="E10" s="6" t="s">
        <v>120</v>
      </c>
      <c r="F10" s="6" t="s">
        <v>121</v>
      </c>
      <c r="G10" s="6" t="s">
        <v>122</v>
      </c>
      <c r="H10" s="6" t="s">
        <v>123</v>
      </c>
      <c r="I10" s="6" t="s">
        <v>124</v>
      </c>
      <c r="J10" s="6" t="s">
        <v>125</v>
      </c>
      <c r="K10" s="6" t="s">
        <v>126</v>
      </c>
      <c r="L10" s="6" t="s">
        <v>41</v>
      </c>
      <c r="M10" s="6" t="s">
        <v>42</v>
      </c>
      <c r="N10" s="6" t="s">
        <v>42</v>
      </c>
      <c r="O10" s="6" t="s">
        <v>127</v>
      </c>
      <c r="P10" s="6" t="s">
        <v>58</v>
      </c>
      <c r="Q10" s="6" t="s">
        <v>128</v>
      </c>
      <c r="R10" s="6" t="s">
        <v>46</v>
      </c>
      <c r="S10" s="6" t="s">
        <v>75</v>
      </c>
    </row>
    <row r="11" customFormat="false" ht="23.85" hidden="false" customHeight="false" outlineLevel="0" collapsed="false">
      <c r="A11" s="5" t="s">
        <v>129</v>
      </c>
      <c r="B11" s="6" t="s">
        <v>130</v>
      </c>
      <c r="C11" s="6" t="s">
        <v>131</v>
      </c>
      <c r="D11" s="6" t="s">
        <v>132</v>
      </c>
      <c r="E11" s="6" t="s">
        <v>133</v>
      </c>
      <c r="F11" s="6" t="s">
        <v>134</v>
      </c>
      <c r="G11" s="6" t="s">
        <v>135</v>
      </c>
      <c r="H11" s="6" t="s">
        <v>136</v>
      </c>
      <c r="I11" s="6" t="s">
        <v>137</v>
      </c>
      <c r="J11" s="6" t="s">
        <v>138</v>
      </c>
      <c r="K11" s="6" t="s">
        <v>139</v>
      </c>
      <c r="L11" s="6" t="s">
        <v>41</v>
      </c>
      <c r="M11" s="6" t="s">
        <v>140</v>
      </c>
      <c r="N11" s="6" t="s">
        <v>58</v>
      </c>
      <c r="O11" s="6" t="s">
        <v>141</v>
      </c>
      <c r="P11" s="6" t="s">
        <v>58</v>
      </c>
      <c r="Q11" s="6" t="s">
        <v>142</v>
      </c>
      <c r="R11" s="6" t="s">
        <v>46</v>
      </c>
      <c r="S11" s="6" t="s">
        <v>47</v>
      </c>
    </row>
    <row r="12" customFormat="false" ht="23.85" hidden="false" customHeight="false" outlineLevel="0" collapsed="false">
      <c r="A12" s="5" t="s">
        <v>143</v>
      </c>
      <c r="B12" s="6" t="s">
        <v>144</v>
      </c>
      <c r="C12" s="6" t="s">
        <v>145</v>
      </c>
      <c r="D12" s="6" t="s">
        <v>146</v>
      </c>
      <c r="E12" s="6" t="s">
        <v>147</v>
      </c>
      <c r="F12" s="6" t="s">
        <v>148</v>
      </c>
      <c r="G12" s="6" t="s">
        <v>149</v>
      </c>
      <c r="H12" s="6" t="s">
        <v>150</v>
      </c>
      <c r="I12" s="6" t="s">
        <v>151</v>
      </c>
      <c r="J12" s="6" t="s">
        <v>152</v>
      </c>
      <c r="K12" s="6" t="s">
        <v>153</v>
      </c>
      <c r="L12" s="6" t="s">
        <v>41</v>
      </c>
      <c r="M12" s="6" t="s">
        <v>42</v>
      </c>
      <c r="N12" s="6" t="s">
        <v>42</v>
      </c>
      <c r="O12" s="6" t="s">
        <v>154</v>
      </c>
      <c r="P12" s="6" t="s">
        <v>58</v>
      </c>
      <c r="Q12" s="6" t="s">
        <v>155</v>
      </c>
      <c r="R12" s="6" t="s">
        <v>46</v>
      </c>
      <c r="S12" s="6" t="s">
        <v>75</v>
      </c>
    </row>
    <row r="13" customFormat="false" ht="23.85" hidden="false" customHeight="false" outlineLevel="0" collapsed="false">
      <c r="A13" s="5" t="s">
        <v>156</v>
      </c>
      <c r="B13" s="6" t="s">
        <v>157</v>
      </c>
      <c r="C13" s="6" t="s">
        <v>158</v>
      </c>
      <c r="D13" s="6" t="s">
        <v>159</v>
      </c>
      <c r="E13" s="6" t="s">
        <v>160</v>
      </c>
      <c r="F13" s="6" t="s">
        <v>161</v>
      </c>
      <c r="G13" s="6" t="s">
        <v>162</v>
      </c>
      <c r="H13" s="6" t="s">
        <v>163</v>
      </c>
      <c r="I13" s="6" t="s">
        <v>164</v>
      </c>
      <c r="J13" s="6" t="s">
        <v>165</v>
      </c>
      <c r="K13" s="6" t="s">
        <v>166</v>
      </c>
      <c r="L13" s="6" t="s">
        <v>56</v>
      </c>
      <c r="M13" s="6" t="s">
        <v>167</v>
      </c>
      <c r="N13" s="6" t="s">
        <v>58</v>
      </c>
      <c r="O13" s="6" t="s">
        <v>168</v>
      </c>
      <c r="P13" s="6" t="s">
        <v>58</v>
      </c>
      <c r="Q13" s="6" t="s">
        <v>169</v>
      </c>
      <c r="R13" s="6" t="s">
        <v>46</v>
      </c>
      <c r="S13" s="6" t="s">
        <v>75</v>
      </c>
    </row>
    <row r="14" customFormat="false" ht="35.05" hidden="false" customHeight="false" outlineLevel="0" collapsed="false">
      <c r="A14" s="5" t="s">
        <v>170</v>
      </c>
      <c r="B14" s="6" t="s">
        <v>171</v>
      </c>
      <c r="C14" s="6" t="s">
        <v>172</v>
      </c>
      <c r="D14" s="6" t="s">
        <v>119</v>
      </c>
      <c r="E14" s="6" t="s">
        <v>173</v>
      </c>
      <c r="F14" s="6" t="s">
        <v>174</v>
      </c>
      <c r="G14" s="6" t="s">
        <v>175</v>
      </c>
      <c r="H14" s="6" t="s">
        <v>176</v>
      </c>
      <c r="I14" s="6" t="s">
        <v>177</v>
      </c>
      <c r="J14" s="6" t="s">
        <v>178</v>
      </c>
      <c r="K14" s="6" t="s">
        <v>179</v>
      </c>
      <c r="L14" s="6" t="s">
        <v>56</v>
      </c>
      <c r="M14" s="6" t="s">
        <v>42</v>
      </c>
      <c r="N14" s="6" t="s">
        <v>42</v>
      </c>
      <c r="O14" s="6" t="s">
        <v>180</v>
      </c>
      <c r="P14" s="6" t="s">
        <v>58</v>
      </c>
      <c r="Q14" s="6" t="s">
        <v>181</v>
      </c>
      <c r="R14" s="6" t="s">
        <v>46</v>
      </c>
      <c r="S14" s="6" t="s">
        <v>75</v>
      </c>
    </row>
    <row r="15" customFormat="false" ht="23.85" hidden="false" customHeight="false" outlineLevel="0" collapsed="false">
      <c r="A15" s="5" t="s">
        <v>182</v>
      </c>
      <c r="B15" s="6" t="s">
        <v>183</v>
      </c>
      <c r="C15" s="6" t="s">
        <v>184</v>
      </c>
      <c r="D15" s="6" t="s">
        <v>185</v>
      </c>
      <c r="E15" s="6" t="s">
        <v>186</v>
      </c>
      <c r="F15" s="6" t="s">
        <v>187</v>
      </c>
      <c r="G15" s="6" t="s">
        <v>188</v>
      </c>
      <c r="H15" s="6" t="s">
        <v>150</v>
      </c>
      <c r="I15" s="6" t="s">
        <v>189</v>
      </c>
      <c r="J15" s="6" t="s">
        <v>190</v>
      </c>
      <c r="K15" s="6" t="s">
        <v>191</v>
      </c>
      <c r="L15" s="6" t="s">
        <v>41</v>
      </c>
      <c r="M15" s="6" t="s">
        <v>42</v>
      </c>
      <c r="N15" s="6" t="s">
        <v>42</v>
      </c>
      <c r="O15" s="6" t="s">
        <v>192</v>
      </c>
      <c r="P15" s="6" t="s">
        <v>58</v>
      </c>
      <c r="Q15" s="6" t="s">
        <v>193</v>
      </c>
      <c r="R15" s="6" t="s">
        <v>194</v>
      </c>
      <c r="S15" s="6" t="s">
        <v>195</v>
      </c>
    </row>
    <row r="16" customFormat="false" ht="46.25" hidden="false" customHeight="false" outlineLevel="0" collapsed="false">
      <c r="A16" s="5" t="s">
        <v>196</v>
      </c>
      <c r="B16" s="6" t="s">
        <v>197</v>
      </c>
      <c r="C16" s="6" t="s">
        <v>198</v>
      </c>
      <c r="D16" s="6" t="s">
        <v>199</v>
      </c>
      <c r="E16" s="6" t="s">
        <v>200</v>
      </c>
      <c r="F16" s="6" t="s">
        <v>201</v>
      </c>
      <c r="G16" s="6" t="s">
        <v>202</v>
      </c>
      <c r="H16" s="6" t="s">
        <v>203</v>
      </c>
      <c r="I16" s="6" t="s">
        <v>204</v>
      </c>
      <c r="J16" s="6" t="s">
        <v>205</v>
      </c>
      <c r="K16" s="6" t="s">
        <v>206</v>
      </c>
      <c r="L16" s="6" t="s">
        <v>41</v>
      </c>
      <c r="M16" s="6" t="s">
        <v>207</v>
      </c>
      <c r="N16" s="6" t="s">
        <v>42</v>
      </c>
      <c r="O16" s="6" t="s">
        <v>208</v>
      </c>
      <c r="P16" s="6" t="s">
        <v>44</v>
      </c>
      <c r="Q16" s="6" t="s">
        <v>209</v>
      </c>
      <c r="R16" s="6" t="s">
        <v>210</v>
      </c>
      <c r="S16" s="6" t="s">
        <v>195</v>
      </c>
    </row>
    <row r="17" customFormat="false" ht="35.05" hidden="false" customHeight="false" outlineLevel="0" collapsed="false">
      <c r="A17" s="5" t="s">
        <v>211</v>
      </c>
      <c r="B17" s="6" t="s">
        <v>212</v>
      </c>
      <c r="C17" s="6" t="s">
        <v>213</v>
      </c>
      <c r="D17" s="6" t="s">
        <v>214</v>
      </c>
      <c r="E17" s="6" t="s">
        <v>215</v>
      </c>
      <c r="F17" s="6" t="s">
        <v>216</v>
      </c>
      <c r="G17" s="6" t="s">
        <v>217</v>
      </c>
      <c r="H17" s="6" t="s">
        <v>218</v>
      </c>
      <c r="I17" s="6" t="s">
        <v>219</v>
      </c>
      <c r="J17" s="6" t="s">
        <v>220</v>
      </c>
      <c r="K17" s="6" t="s">
        <v>221</v>
      </c>
      <c r="L17" s="6" t="s">
        <v>41</v>
      </c>
      <c r="M17" s="6" t="s">
        <v>57</v>
      </c>
      <c r="N17" s="6" t="s">
        <v>87</v>
      </c>
      <c r="O17" s="6" t="s">
        <v>222</v>
      </c>
      <c r="P17" s="6" t="s">
        <v>58</v>
      </c>
      <c r="Q17" s="6" t="s">
        <v>223</v>
      </c>
      <c r="R17" s="6" t="s">
        <v>46</v>
      </c>
      <c r="S17" s="6" t="s">
        <v>47</v>
      </c>
    </row>
    <row r="18" customFormat="false" ht="35.05" hidden="false" customHeight="false" outlineLevel="0" collapsed="false">
      <c r="A18" s="5" t="s">
        <v>224</v>
      </c>
      <c r="B18" s="6" t="s">
        <v>225</v>
      </c>
      <c r="C18" s="6" t="s">
        <v>226</v>
      </c>
      <c r="D18" s="6" t="s">
        <v>227</v>
      </c>
      <c r="E18" s="6" t="s">
        <v>228</v>
      </c>
      <c r="F18" s="6" t="s">
        <v>229</v>
      </c>
      <c r="G18" s="6" t="s">
        <v>230</v>
      </c>
      <c r="H18" s="6" t="s">
        <v>231</v>
      </c>
      <c r="I18" s="6" t="s">
        <v>232</v>
      </c>
      <c r="J18" s="6" t="s">
        <v>233</v>
      </c>
      <c r="K18" s="6" t="s">
        <v>234</v>
      </c>
      <c r="L18" s="6" t="s">
        <v>41</v>
      </c>
      <c r="M18" s="6" t="s">
        <v>235</v>
      </c>
      <c r="N18" s="6" t="s">
        <v>58</v>
      </c>
      <c r="O18" s="6" t="s">
        <v>236</v>
      </c>
      <c r="P18" s="6" t="s">
        <v>58</v>
      </c>
      <c r="Q18" s="6" t="s">
        <v>237</v>
      </c>
      <c r="R18" s="6" t="s">
        <v>238</v>
      </c>
      <c r="S18" s="6" t="s">
        <v>239</v>
      </c>
    </row>
    <row r="19" customFormat="false" ht="35.05" hidden="false" customHeight="false" outlineLevel="0" collapsed="false">
      <c r="A19" s="5" t="s">
        <v>240</v>
      </c>
      <c r="B19" s="6" t="s">
        <v>212</v>
      </c>
      <c r="C19" s="6" t="s">
        <v>241</v>
      </c>
      <c r="D19" s="6" t="s">
        <v>242</v>
      </c>
      <c r="E19" s="6" t="s">
        <v>243</v>
      </c>
      <c r="F19" s="6" t="s">
        <v>244</v>
      </c>
      <c r="G19" s="6" t="s">
        <v>245</v>
      </c>
      <c r="H19" s="6" t="s">
        <v>246</v>
      </c>
      <c r="I19" s="6" t="s">
        <v>247</v>
      </c>
      <c r="J19" s="6" t="s">
        <v>248</v>
      </c>
      <c r="K19" s="6" t="s">
        <v>249</v>
      </c>
      <c r="L19" s="6" t="s">
        <v>56</v>
      </c>
      <c r="M19" s="6" t="s">
        <v>250</v>
      </c>
      <c r="N19" s="6" t="s">
        <v>44</v>
      </c>
      <c r="O19" s="6" t="s">
        <v>251</v>
      </c>
      <c r="P19" s="6" t="s">
        <v>44</v>
      </c>
      <c r="Q19" s="6" t="s">
        <v>252</v>
      </c>
      <c r="R19" s="6" t="s">
        <v>253</v>
      </c>
      <c r="S19" s="6" t="s">
        <v>47</v>
      </c>
    </row>
    <row r="20" customFormat="false" ht="23.85" hidden="false" customHeight="false" outlineLevel="0" collapsed="false">
      <c r="A20" s="5" t="s">
        <v>254</v>
      </c>
      <c r="B20" s="6" t="s">
        <v>255</v>
      </c>
      <c r="C20" s="6" t="s">
        <v>256</v>
      </c>
      <c r="D20" s="6" t="s">
        <v>119</v>
      </c>
      <c r="E20" s="6" t="s">
        <v>257</v>
      </c>
      <c r="F20" s="6" t="s">
        <v>258</v>
      </c>
      <c r="G20" s="6" t="s">
        <v>259</v>
      </c>
      <c r="H20" s="6" t="s">
        <v>260</v>
      </c>
      <c r="I20" s="6" t="s">
        <v>261</v>
      </c>
      <c r="J20" s="6" t="s">
        <v>262</v>
      </c>
      <c r="K20" s="6" t="s">
        <v>263</v>
      </c>
      <c r="L20" s="6" t="s">
        <v>41</v>
      </c>
      <c r="M20" s="6" t="s">
        <v>57</v>
      </c>
      <c r="N20" s="6" t="s">
        <v>87</v>
      </c>
      <c r="O20" s="6" t="s">
        <v>264</v>
      </c>
      <c r="P20" s="6" t="s">
        <v>58</v>
      </c>
      <c r="Q20" s="6" t="s">
        <v>265</v>
      </c>
      <c r="R20" s="6" t="s">
        <v>46</v>
      </c>
      <c r="S20" s="6" t="s">
        <v>75</v>
      </c>
    </row>
    <row r="21" customFormat="false" ht="15" hidden="false" customHeight="false" outlineLevel="0" collapsed="false">
      <c r="A21" s="5" t="s">
        <v>266</v>
      </c>
      <c r="B21" s="6" t="s">
        <v>267</v>
      </c>
      <c r="C21" s="6" t="s">
        <v>268</v>
      </c>
      <c r="D21" s="6" t="s">
        <v>269</v>
      </c>
      <c r="E21" s="6" t="s">
        <v>270</v>
      </c>
      <c r="F21" s="6" t="s">
        <v>271</v>
      </c>
      <c r="G21" s="6" t="s">
        <v>272</v>
      </c>
      <c r="H21" s="6" t="s">
        <v>150</v>
      </c>
      <c r="I21" s="6" t="s">
        <v>273</v>
      </c>
      <c r="J21" s="6" t="s">
        <v>274</v>
      </c>
      <c r="K21" s="6" t="s">
        <v>275</v>
      </c>
      <c r="L21" s="6" t="s">
        <v>41</v>
      </c>
      <c r="M21" s="6" t="s">
        <v>42</v>
      </c>
      <c r="N21" s="6" t="s">
        <v>42</v>
      </c>
      <c r="O21" s="6" t="s">
        <v>276</v>
      </c>
      <c r="P21" s="6" t="s">
        <v>58</v>
      </c>
      <c r="Q21" s="6" t="s">
        <v>277</v>
      </c>
      <c r="R21" s="6" t="s">
        <v>46</v>
      </c>
      <c r="S21" s="6" t="s">
        <v>75</v>
      </c>
    </row>
    <row r="22" customFormat="false" ht="23.85" hidden="false" customHeight="false" outlineLevel="0" collapsed="false">
      <c r="A22" s="5" t="s">
        <v>278</v>
      </c>
      <c r="B22" s="6" t="s">
        <v>279</v>
      </c>
      <c r="C22" s="6" t="s">
        <v>280</v>
      </c>
      <c r="D22" s="6" t="s">
        <v>281</v>
      </c>
      <c r="E22" s="6" t="s">
        <v>282</v>
      </c>
      <c r="F22" s="6" t="s">
        <v>283</v>
      </c>
      <c r="G22" s="6" t="s">
        <v>284</v>
      </c>
      <c r="H22" s="6" t="s">
        <v>285</v>
      </c>
      <c r="I22" s="6" t="s">
        <v>286</v>
      </c>
      <c r="J22" s="6" t="s">
        <v>287</v>
      </c>
      <c r="K22" s="6" t="s">
        <v>150</v>
      </c>
      <c r="L22" s="6" t="s">
        <v>56</v>
      </c>
      <c r="M22" s="6" t="s">
        <v>207</v>
      </c>
      <c r="N22" s="6" t="s">
        <v>42</v>
      </c>
      <c r="O22" s="6" t="s">
        <v>288</v>
      </c>
      <c r="P22" s="6" t="s">
        <v>58</v>
      </c>
      <c r="Q22" s="6" t="s">
        <v>289</v>
      </c>
      <c r="R22" s="6" t="s">
        <v>290</v>
      </c>
      <c r="S22" s="6" t="s">
        <v>75</v>
      </c>
    </row>
    <row r="23" customFormat="false" ht="35.05" hidden="false" customHeight="false" outlineLevel="0" collapsed="false">
      <c r="A23" s="5" t="s">
        <v>291</v>
      </c>
      <c r="B23" s="6" t="s">
        <v>292</v>
      </c>
      <c r="C23" s="6" t="s">
        <v>293</v>
      </c>
      <c r="D23" s="6" t="s">
        <v>294</v>
      </c>
      <c r="E23" s="6" t="s">
        <v>295</v>
      </c>
      <c r="F23" s="6" t="s">
        <v>296</v>
      </c>
      <c r="G23" s="6" t="s">
        <v>297</v>
      </c>
      <c r="H23" s="6" t="s">
        <v>150</v>
      </c>
      <c r="I23" s="6" t="s">
        <v>298</v>
      </c>
      <c r="J23" s="6" t="s">
        <v>299</v>
      </c>
      <c r="K23" s="6" t="s">
        <v>150</v>
      </c>
      <c r="L23" s="6" t="s">
        <v>41</v>
      </c>
      <c r="M23" s="6" t="s">
        <v>167</v>
      </c>
      <c r="N23" s="6" t="s">
        <v>87</v>
      </c>
      <c r="O23" s="6" t="s">
        <v>300</v>
      </c>
      <c r="P23" s="6" t="s">
        <v>87</v>
      </c>
      <c r="Q23" s="6" t="s">
        <v>301</v>
      </c>
      <c r="R23" s="6" t="s">
        <v>302</v>
      </c>
      <c r="S23" s="6" t="s">
        <v>303</v>
      </c>
    </row>
    <row r="24" customFormat="false" ht="35.05" hidden="false" customHeight="false" outlineLevel="0" collapsed="false">
      <c r="A24" s="5" t="s">
        <v>304</v>
      </c>
      <c r="B24" s="6" t="s">
        <v>305</v>
      </c>
      <c r="C24" s="6" t="s">
        <v>306</v>
      </c>
      <c r="D24" s="6" t="s">
        <v>307</v>
      </c>
      <c r="E24" s="6" t="s">
        <v>308</v>
      </c>
      <c r="F24" s="6" t="s">
        <v>309</v>
      </c>
      <c r="G24" s="6" t="s">
        <v>310</v>
      </c>
      <c r="H24" s="6" t="s">
        <v>311</v>
      </c>
      <c r="I24" s="6" t="s">
        <v>312</v>
      </c>
      <c r="J24" s="6" t="s">
        <v>313</v>
      </c>
      <c r="K24" s="6" t="s">
        <v>314</v>
      </c>
      <c r="L24" s="6" t="s">
        <v>56</v>
      </c>
      <c r="M24" s="6" t="s">
        <v>167</v>
      </c>
      <c r="N24" s="6" t="s">
        <v>44</v>
      </c>
      <c r="O24" s="6" t="s">
        <v>315</v>
      </c>
      <c r="P24" s="6" t="s">
        <v>44</v>
      </c>
      <c r="Q24" s="6" t="s">
        <v>316</v>
      </c>
      <c r="R24" s="6" t="s">
        <v>46</v>
      </c>
      <c r="S24" s="6" t="s">
        <v>47</v>
      </c>
    </row>
    <row r="25" customFormat="false" ht="35.05" hidden="false" customHeight="false" outlineLevel="0" collapsed="false">
      <c r="A25" s="5" t="s">
        <v>317</v>
      </c>
      <c r="B25" s="6" t="s">
        <v>318</v>
      </c>
      <c r="C25" s="6" t="s">
        <v>319</v>
      </c>
      <c r="D25" s="6" t="s">
        <v>320</v>
      </c>
      <c r="E25" s="6" t="s">
        <v>321</v>
      </c>
      <c r="F25" s="6" t="s">
        <v>322</v>
      </c>
      <c r="G25" s="6" t="s">
        <v>310</v>
      </c>
      <c r="H25" s="6" t="s">
        <v>323</v>
      </c>
      <c r="I25" s="6" t="s">
        <v>312</v>
      </c>
      <c r="J25" s="6" t="s">
        <v>324</v>
      </c>
      <c r="K25" s="6" t="s">
        <v>325</v>
      </c>
      <c r="L25" s="6" t="s">
        <v>41</v>
      </c>
      <c r="M25" s="6" t="s">
        <v>167</v>
      </c>
      <c r="N25" s="6" t="s">
        <v>58</v>
      </c>
      <c r="O25" s="6" t="s">
        <v>326</v>
      </c>
      <c r="P25" s="6" t="s">
        <v>58</v>
      </c>
      <c r="Q25" s="6" t="s">
        <v>327</v>
      </c>
      <c r="R25" s="6" t="s">
        <v>46</v>
      </c>
      <c r="S25" s="6" t="s">
        <v>328</v>
      </c>
    </row>
    <row r="26" customFormat="false" ht="35.05" hidden="false" customHeight="false" outlineLevel="0" collapsed="false">
      <c r="A26" s="5" t="s">
        <v>329</v>
      </c>
      <c r="B26" s="6" t="s">
        <v>330</v>
      </c>
      <c r="C26" s="6" t="s">
        <v>319</v>
      </c>
      <c r="D26" s="6" t="s">
        <v>331</v>
      </c>
      <c r="E26" s="6" t="s">
        <v>332</v>
      </c>
      <c r="F26" s="6" t="s">
        <v>333</v>
      </c>
      <c r="G26" s="6" t="s">
        <v>310</v>
      </c>
      <c r="H26" s="6" t="s">
        <v>334</v>
      </c>
      <c r="I26" s="6" t="s">
        <v>312</v>
      </c>
      <c r="J26" s="6" t="s">
        <v>335</v>
      </c>
      <c r="K26" s="6" t="s">
        <v>336</v>
      </c>
      <c r="L26" s="6" t="s">
        <v>41</v>
      </c>
      <c r="M26" s="6" t="s">
        <v>167</v>
      </c>
      <c r="N26" s="6" t="s">
        <v>58</v>
      </c>
      <c r="O26" s="6" t="s">
        <v>337</v>
      </c>
      <c r="P26" s="6" t="s">
        <v>58</v>
      </c>
      <c r="Q26" s="6" t="s">
        <v>338</v>
      </c>
      <c r="R26" s="6" t="s">
        <v>46</v>
      </c>
      <c r="S26" s="6" t="s">
        <v>75</v>
      </c>
    </row>
    <row r="27" customFormat="false" ht="35.05" hidden="false" customHeight="false" outlineLevel="0" collapsed="false">
      <c r="A27" s="5" t="s">
        <v>339</v>
      </c>
      <c r="B27" s="6" t="s">
        <v>212</v>
      </c>
      <c r="C27" s="6" t="s">
        <v>340</v>
      </c>
      <c r="D27" s="6" t="s">
        <v>214</v>
      </c>
      <c r="E27" s="6" t="s">
        <v>215</v>
      </c>
      <c r="F27" s="6" t="s">
        <v>216</v>
      </c>
      <c r="G27" s="6" t="s">
        <v>341</v>
      </c>
      <c r="H27" s="6" t="s">
        <v>342</v>
      </c>
      <c r="I27" s="6" t="s">
        <v>343</v>
      </c>
      <c r="J27" s="6" t="s">
        <v>344</v>
      </c>
      <c r="K27" s="6" t="s">
        <v>345</v>
      </c>
      <c r="L27" s="6" t="s">
        <v>41</v>
      </c>
      <c r="M27" s="6" t="s">
        <v>167</v>
      </c>
      <c r="N27" s="6" t="s">
        <v>58</v>
      </c>
      <c r="O27" s="6" t="s">
        <v>346</v>
      </c>
      <c r="P27" s="6" t="s">
        <v>58</v>
      </c>
      <c r="Q27" s="6" t="s">
        <v>347</v>
      </c>
      <c r="R27" s="6" t="s">
        <v>46</v>
      </c>
      <c r="S27" s="6" t="s">
        <v>75</v>
      </c>
    </row>
    <row r="28" customFormat="false" ht="35.05" hidden="false" customHeight="false" outlineLevel="0" collapsed="false">
      <c r="A28" s="5" t="s">
        <v>348</v>
      </c>
      <c r="B28" s="6" t="s">
        <v>104</v>
      </c>
      <c r="C28" s="6" t="s">
        <v>319</v>
      </c>
      <c r="D28" s="6" t="s">
        <v>349</v>
      </c>
      <c r="E28" s="6" t="s">
        <v>350</v>
      </c>
      <c r="F28" s="6" t="s">
        <v>351</v>
      </c>
      <c r="G28" s="6" t="s">
        <v>310</v>
      </c>
      <c r="H28" s="6" t="s">
        <v>352</v>
      </c>
      <c r="I28" s="6" t="s">
        <v>312</v>
      </c>
      <c r="J28" s="6" t="s">
        <v>353</v>
      </c>
      <c r="K28" s="6" t="s">
        <v>354</v>
      </c>
      <c r="L28" s="6" t="s">
        <v>41</v>
      </c>
      <c r="M28" s="6" t="s">
        <v>167</v>
      </c>
      <c r="N28" s="6" t="s">
        <v>58</v>
      </c>
      <c r="O28" s="6" t="s">
        <v>355</v>
      </c>
      <c r="P28" s="6" t="s">
        <v>58</v>
      </c>
      <c r="Q28" s="6" t="s">
        <v>356</v>
      </c>
      <c r="R28" s="6" t="s">
        <v>46</v>
      </c>
      <c r="S28" s="6" t="s">
        <v>75</v>
      </c>
    </row>
    <row r="29" customFormat="false" ht="35.05" hidden="false" customHeight="false" outlineLevel="0" collapsed="false">
      <c r="A29" s="5" t="s">
        <v>357</v>
      </c>
      <c r="B29" s="6" t="s">
        <v>225</v>
      </c>
      <c r="C29" s="6" t="s">
        <v>226</v>
      </c>
      <c r="D29" s="6" t="s">
        <v>227</v>
      </c>
      <c r="E29" s="6" t="s">
        <v>228</v>
      </c>
      <c r="F29" s="6" t="s">
        <v>229</v>
      </c>
      <c r="G29" s="6" t="s">
        <v>358</v>
      </c>
      <c r="H29" s="6" t="s">
        <v>359</v>
      </c>
      <c r="I29" s="6" t="s">
        <v>360</v>
      </c>
      <c r="J29" s="6" t="s">
        <v>361</v>
      </c>
      <c r="K29" s="6" t="s">
        <v>362</v>
      </c>
      <c r="L29" s="6" t="s">
        <v>56</v>
      </c>
      <c r="M29" s="6" t="s">
        <v>167</v>
      </c>
      <c r="N29" s="6" t="s">
        <v>58</v>
      </c>
      <c r="O29" s="6" t="s">
        <v>363</v>
      </c>
      <c r="P29" s="6" t="s">
        <v>58</v>
      </c>
      <c r="Q29" s="6" t="s">
        <v>364</v>
      </c>
      <c r="R29" s="6" t="s">
        <v>46</v>
      </c>
      <c r="S29" s="6" t="s">
        <v>328</v>
      </c>
    </row>
    <row r="30" customFormat="false" ht="35.05" hidden="false" customHeight="false" outlineLevel="0" collapsed="false">
      <c r="A30" s="5" t="s">
        <v>365</v>
      </c>
      <c r="B30" s="6" t="s">
        <v>212</v>
      </c>
      <c r="C30" s="6" t="s">
        <v>319</v>
      </c>
      <c r="D30" s="6" t="s">
        <v>366</v>
      </c>
      <c r="E30" s="6" t="s">
        <v>367</v>
      </c>
      <c r="F30" s="6" t="s">
        <v>368</v>
      </c>
      <c r="G30" s="6" t="s">
        <v>310</v>
      </c>
      <c r="H30" s="6" t="s">
        <v>369</v>
      </c>
      <c r="I30" s="6" t="s">
        <v>312</v>
      </c>
      <c r="J30" s="6" t="s">
        <v>370</v>
      </c>
      <c r="K30" s="6" t="s">
        <v>371</v>
      </c>
      <c r="L30" s="6" t="s">
        <v>56</v>
      </c>
      <c r="M30" s="6" t="s">
        <v>372</v>
      </c>
      <c r="N30" s="6" t="s">
        <v>58</v>
      </c>
      <c r="O30" s="6" t="s">
        <v>373</v>
      </c>
      <c r="P30" s="6" t="s">
        <v>58</v>
      </c>
      <c r="Q30" s="6" t="s">
        <v>374</v>
      </c>
      <c r="R30" s="6" t="s">
        <v>375</v>
      </c>
      <c r="S30" s="6" t="s">
        <v>47</v>
      </c>
    </row>
  </sheetData>
  <autoFilter ref="A3:S30"/>
  <conditionalFormatting sqref="N4:N30">
    <cfRule type="cellIs" priority="2" operator="equal" aboveAverage="0" equalAverage="0" bottom="0" percent="0" rank="0" text="" dxfId="7">
      <formula>"High"</formula>
    </cfRule>
    <cfRule type="cellIs" priority="3" operator="equal" aboveAverage="0" equalAverage="0" bottom="0" percent="0" rank="0" text="" dxfId="8">
      <formula>"Medium"</formula>
    </cfRule>
    <cfRule type="cellIs" priority="4" operator="equal" aboveAverage="0" equalAverage="0" bottom="0" percent="0" rank="0" text="" dxfId="9">
      <formula>"Low"</formula>
    </cfRule>
    <cfRule type="cellIs" priority="5" operator="equal" aboveAverage="0" equalAverage="0" bottom="0" percent="0" rank="0" text="" dxfId="9">
      <formula>"Closed"</formula>
    </cfRule>
  </conditionalFormatting>
  <conditionalFormatting sqref="P4:P30">
    <cfRule type="cellIs" priority="6" operator="equal" aboveAverage="0" equalAverage="0" bottom="0" percent="0" rank="0" text="" dxfId="7">
      <formula>"High"</formula>
    </cfRule>
    <cfRule type="cellIs" priority="7" operator="equal" aboveAverage="0" equalAverage="0" bottom="0" percent="0" rank="0" text="" dxfId="8">
      <formula>"Medium"</formula>
    </cfRule>
    <cfRule type="cellIs" priority="8" operator="equal" aboveAverage="0" equalAverage="0" bottom="0" percent="0" rank="0" text="" dxfId="9">
      <formula>"Low"</formula>
    </cfRule>
    <cfRule type="cellIs" priority="9" operator="equal" aboveAverage="0" equalAverage="0" bottom="0" percent="0" rank="0" text="" dxfId="9">
      <formula>"Closed"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2026-10-06T14:24:51Z</dcterms:created>
  <dc:creator>openpyxl</dc:creator>
  <dc:description/>
  <dc:language>en-US</dc:language>
  <cp:lastModifiedBy/>
  <dcterms:modified xsi:type="dcterms:W3CDTF">2026-10-06T14:24:51Z</dcterms:modified>
  <cp:revision>0</cp:revision>
  <dc:subject/>
  <dc:title>Traceability matrix (follow-up) (fictional case study)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