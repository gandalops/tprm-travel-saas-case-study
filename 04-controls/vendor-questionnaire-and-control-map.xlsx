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trol requirements" sheetId="2" state="visible" r:id="rId4"/>
    <sheet name="Questionnaire" sheetId="3" state="visible" r:id="rId5"/>
    <sheet name="Regulatory map" sheetId="4" state="visible" r:id="rId6"/>
    <sheet name="ISO 27001 view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<sst xmlns="http://schemas.openxmlformats.org/spreadsheetml/2006/main" count="1607" uniqueCount="847">
  <si>
    <t xml:space="preserve">Vendor questionnaire and control map (version 2)</t>
  </si>
  <si>
    <t xml:space="preserve">Case study</t>
  </si>
  <si>
    <t xml:space="preserve">Fictional learning project. Example Bank and Vendor X are placeholders. Not based on any real organisation, vendor or assessment.</t>
  </si>
  <si>
    <t xml:space="preserve">Purpose</t>
  </si>
  <si>
    <t xml:space="preserve">Stage 4 of the case study. It links each question to a control requirement, to the data flows in the architecture, and to DORA, GDPR and ISO 27001.</t>
  </si>
  <si>
    <t xml:space="preserve">Chain</t>
  </si>
  <si>
    <t xml:space="preserve">Flow or observation, then risk, then control requirement (CR), then framework reference, then question, then (Stage 5) vendor answer, finding and decision.</t>
  </si>
  <si>
    <t xml:space="preserve">Sheets</t>
  </si>
  <si>
    <t xml:space="preserve">Control requirements: 28 requirements with sources and mappings. Questionnaire: 87 questions with flow IDs and control IDs. Regulatory map: references per question. ISO 27001 view: Annex A controls this assessment tests. Summary: counts by domain.</t>
  </si>
  <si>
    <t xml:space="preserve">Cells to edit</t>
  </si>
  <si>
    <t xml:space="preserve">Yellow cells only: vendor details, and the response, evidence status, rating and notes columns on the Questionnaire sheet.</t>
  </si>
  <si>
    <t xml:space="preserve">Example row</t>
  </si>
  <si>
    <t xml:space="preserve">Row 6 (ID EX) shows the expected format and is not counted in the Summary.</t>
  </si>
  <si>
    <t xml:space="preserve">Flow IDs</t>
  </si>
  <si>
    <t xml:space="preserve">FS, FA, F3 to F12, FG, FN, FL, FH and FV refer to the data-flow table in Stage 3. All means every flow.</t>
  </si>
  <si>
    <t xml:space="preserve">Tier</t>
  </si>
  <si>
    <t xml:space="preserve">The service is Tier 1, so every question applies. Questions marked Deeper in the Regulatory map need full depth because the service supports a critical or important function.</t>
  </si>
  <si>
    <t xml:space="preserve">Evidence strength</t>
  </si>
  <si>
    <t xml:space="preserve">Strong: independent report, or system export or test dated within 90 days. Medium: dated screenshot, or policy with a small sample of records. Weak: policy only, vendor statement, or undated material.</t>
  </si>
  <si>
    <t xml:space="preserve">Assessor rating</t>
  </si>
  <si>
    <t xml:space="preserve">Satisfactory: control described and supported by strong evidence (or medium for lower-risk controls). Partial: described but evidence is weak or coverage incomplete. Gap: absent or contradicted. Not applicable: does not apply.</t>
  </si>
  <si>
    <t xml:space="preserve">ID note</t>
  </si>
  <si>
    <t xml:space="preserve">Question IDs are a domain letter plus a number (for example H1). In the traceability matrix they carry the prefix Q-, because D, F, R and S are also used for data, factors, regulations and scope.</t>
  </si>
  <si>
    <t xml:space="preserve">Regulatory references</t>
  </si>
  <si>
    <t xml:space="preserve">Article-level and indicative. Verify against the official texts. Not legal advice.</t>
  </si>
  <si>
    <t xml:space="preserve">Input cell</t>
  </si>
  <si>
    <t xml:space="preserve">Yellow fill: fill this in.</t>
  </si>
  <si>
    <t xml:space="preserve">Control requirements</t>
  </si>
  <si>
    <t xml:space="preserve">Each requirement is derived from the Stage 1 to 3 sources shown. Questions are IDs on the Questionnaire sheet.</t>
  </si>
  <si>
    <t xml:space="preserve">CR ID</t>
  </si>
  <si>
    <t xml:space="preserve">Area</t>
  </si>
  <si>
    <t xml:space="preserve">Requirement</t>
  </si>
  <si>
    <t xml:space="preserve">Risk addressed</t>
  </si>
  <si>
    <t xml:space="preserve">Derived from</t>
  </si>
  <si>
    <t xml:space="preserve">Questions</t>
  </si>
  <si>
    <t xml:space="preserve">DORA</t>
  </si>
  <si>
    <t xml:space="preserve">GDPR</t>
  </si>
  <si>
    <t xml:space="preserve">ISO 27001:2022 Annex A</t>
  </si>
  <si>
    <t xml:space="preserve">Other</t>
  </si>
  <si>
    <t xml:space="preserve">CR-01</t>
  </si>
  <si>
    <t xml:space="preserve">Network</t>
  </si>
  <si>
    <t xml:space="preserve">The vendor connects to the bank only from a fixed, documented set of source addresses, announced before any change, and the bank allows only those.</t>
  </si>
  <si>
    <t xml:space="preserve">An unauthorised party reaches the bank's HR, expense or finance endpoints</t>
  </si>
  <si>
    <t xml:space="preserve">X1; FA, F3, F6, F11, F7</t>
  </si>
  <si>
    <t xml:space="preserve">H1, O1</t>
  </si>
  <si>
    <t xml:space="preserve">Art 9</t>
  </si>
  <si>
    <t xml:space="preserve">Art 32</t>
  </si>
  <si>
    <t xml:space="preserve">A.8.20; A.8.22</t>
  </si>
  <si>
    <t xml:space="preserve">All tiers</t>
  </si>
  <si>
    <t xml:space="preserve">CR-02</t>
  </si>
  <si>
    <t xml:space="preserve">Connection authentication</t>
  </si>
  <si>
    <t xml:space="preserve">Every connection from the vendor into the bank uses mutual TLS or equivalent strong client authentication, with short-lived tokens.</t>
  </si>
  <si>
    <t xml:space="preserve">A stolen or replayed credential works from anywhere</t>
  </si>
  <si>
    <t xml:space="preserve">X1; V7</t>
  </si>
  <si>
    <t xml:space="preserve">H2, H3, O2</t>
  </si>
  <si>
    <t xml:space="preserve">A.8.5; A.8.24</t>
  </si>
  <si>
    <t xml:space="preserve">CR-03</t>
  </si>
  <si>
    <t xml:space="preserve">Credential storage</t>
  </si>
  <si>
    <t xml:space="preserve">Credentials the bank gives the vendor (HR, HR portal, expense and ERP accounts) are held in a vault, never in plain text, readable only by named roles, with access logged.</t>
  </si>
  <si>
    <t xml:space="preserve">Compromise of one place exposes four bank systems</t>
  </si>
  <si>
    <t xml:space="preserve">X2; V7</t>
  </si>
  <si>
    <t xml:space="preserve">E3, O3</t>
  </si>
  <si>
    <t xml:space="preserve">A.5.17; A.8.24</t>
  </si>
  <si>
    <t xml:space="preserve">CR-04</t>
  </si>
  <si>
    <t xml:space="preserve">Credential rotation</t>
  </si>
  <si>
    <t xml:space="preserve">Credentials are rotated at least every 90 days and after staff or incident triggers, and the bank can revoke them immediately. (90 days is a proposed default.)</t>
  </si>
  <si>
    <t xml:space="preserve">A leaked credential stays valid for months</t>
  </si>
  <si>
    <t xml:space="preserve">O4</t>
  </si>
  <si>
    <t xml:space="preserve">A.5.17</t>
  </si>
  <si>
    <t xml:space="preserve">CR-05</t>
  </si>
  <si>
    <t xml:space="preserve">Connector isolation</t>
  </si>
  <si>
    <t xml:space="preserve">The connector is a dedicated instance for the bank, patched and monitored, with read-only access and only the agreed fields.</t>
  </si>
  <si>
    <t xml:space="preserve">Over-broad access allows bulk reading of employee data</t>
  </si>
  <si>
    <t xml:space="preserve">X1, X2; FA, F3</t>
  </si>
  <si>
    <t xml:space="preserve">E1, O5, O6</t>
  </si>
  <si>
    <t xml:space="preserve">Art 5(1)(c); Art 32</t>
  </si>
  <si>
    <t xml:space="preserve">A.8.22; A.8.8; A.5.15</t>
  </si>
  <si>
    <t xml:space="preserve">CR-06</t>
  </si>
  <si>
    <t xml:space="preserve">Connector exit</t>
  </si>
  <si>
    <t xml:space="preserve">At contract end the connector is shut down, credentials are revoked and deleted, and the bank receives evidence.</t>
  </si>
  <si>
    <t xml:space="preserve">Residual access after the relationship ends</t>
  </si>
  <si>
    <t xml:space="preserve">X2; Tier 1</t>
  </si>
  <si>
    <t xml:space="preserve">M3, O7</t>
  </si>
  <si>
    <t xml:space="preserve">Art 28(8); Art 30(2)(d)</t>
  </si>
  <si>
    <t xml:space="preserve">Art 28(3)(g)</t>
  </si>
  <si>
    <t xml:space="preserve">A.5.18; A.5.20</t>
  </si>
  <si>
    <t xml:space="preserve">Tier 1</t>
  </si>
  <si>
    <t xml:space="preserve">CR-07</t>
  </si>
  <si>
    <t xml:space="preserve">SSO and MFA</t>
  </si>
  <si>
    <t xml:space="preserve">Users sign in only through the bank IdP with MFA. Local passwords are disabled, including for admins, except vaulted break-glass accounts.</t>
  </si>
  <si>
    <t xml:space="preserve">Account takeover or unmanaged accounts</t>
  </si>
  <si>
    <t xml:space="preserve">X4; FS, FG, F10</t>
  </si>
  <si>
    <t xml:space="preserve">B1, B2, B3, B4</t>
  </si>
  <si>
    <t xml:space="preserve">A.5.16; A.5.17; A.8.5</t>
  </si>
  <si>
    <t xml:space="preserve">CR-08</t>
  </si>
  <si>
    <t xml:space="preserve">Joiners, movers, leavers</t>
  </si>
  <si>
    <t xml:space="preserve">Accounts follow the HR record: leavers lose access within an agreed time, movers get new roles, seats are reclaimed and access is reviewed.</t>
  </si>
  <si>
    <t xml:space="preserve">Former employees keep access to travel data and booking rights</t>
  </si>
  <si>
    <t xml:space="preserve">FA; FS</t>
  </si>
  <si>
    <t xml:space="preserve">C1, C2, C3, C4, C5</t>
  </si>
  <si>
    <t xml:space="preserve">A.5.16; A.5.18; A.6.5</t>
  </si>
  <si>
    <t xml:space="preserve">CR-09</t>
  </si>
  <si>
    <t xml:space="preserve">Privileged and support access</t>
  </si>
  <si>
    <t xml:space="preserve">Vendor admin and support access to production data is just-in-time, approved, logged and restricted by region.</t>
  </si>
  <si>
    <t xml:space="preserve">Misuse or compromise of support accounts exposes passport and executive data</t>
  </si>
  <si>
    <t xml:space="preserve">X5; V8; FV</t>
  </si>
  <si>
    <t xml:space="preserve">D1, D2, D4</t>
  </si>
  <si>
    <t xml:space="preserve">Art 28(3)(b); Art 32</t>
  </si>
  <si>
    <t xml:space="preserve">A.8.2; A.8.15</t>
  </si>
  <si>
    <t xml:space="preserve">CR-10</t>
  </si>
  <si>
    <t xml:space="preserve">VIP protection</t>
  </si>
  <si>
    <t xml:space="preserve">Executive and VIP itineraries have restricted visibility and masked trip purposes, including for vendor staff.</t>
  </si>
  <si>
    <t xml:space="preserve">Leak of senior management movements</t>
  </si>
  <si>
    <t xml:space="preserve">Stage 1 F5; S2</t>
  </si>
  <si>
    <t xml:space="preserve">D5</t>
  </si>
  <si>
    <t xml:space="preserve">A.8.3; A.5.15</t>
  </si>
  <si>
    <t xml:space="preserve">CR-11</t>
  </si>
  <si>
    <t xml:space="preserve">Invoice and finance integrity</t>
  </si>
  <si>
    <t xml:space="preserve">Invoices are authenticated and tamper-evident, duplicates and alterations are detected, and changes of bank details are verified with the bank.</t>
  </si>
  <si>
    <t xml:space="preserve">A fraudulent or altered invoice reaches the ERP</t>
  </si>
  <si>
    <t xml:space="preserve">X3; F7, F8</t>
  </si>
  <si>
    <t xml:space="preserve">G1, G2, G3, G4, G5</t>
  </si>
  <si>
    <t xml:space="preserve">n/a</t>
  </si>
  <si>
    <t xml:space="preserve">A.8.26; A.8.32</t>
  </si>
  <si>
    <t xml:space="preserve">CR-12</t>
  </si>
  <si>
    <t xml:space="preserve">Data minimisation and lifecycle</t>
  </si>
  <si>
    <t xml:space="preserve">Only required fields are sent, retention periods are set and deletion is evidenced, test environments hold no real data, and guest data is deleted after the trip.</t>
  </si>
  <si>
    <t xml:space="preserve">Over-collection and long retention of passport and personal data</t>
  </si>
  <si>
    <t xml:space="preserve">X10; V10; D2, D3, D10</t>
  </si>
  <si>
    <t xml:space="preserve">A2, E1, I3, I4, I5, I7</t>
  </si>
  <si>
    <t xml:space="preserve">Art 30(2)(c); Art 30(2)(d)</t>
  </si>
  <si>
    <t xml:space="preserve">Art 5(1)(c); Art 5(1)(e); Art 32</t>
  </si>
  <si>
    <t xml:space="preserve">A.5.34; A.8.10; A.8.33</t>
  </si>
  <si>
    <t xml:space="preserve">CR-13</t>
  </si>
  <si>
    <t xml:space="preserve">Encryption</t>
  </si>
  <si>
    <t xml:space="preserve">Data is encrypted in transit (TLS 1.2 or higher) and at rest, with defined key management and a customer-managed key option where available.</t>
  </si>
  <si>
    <t xml:space="preserve">Data exposed if storage or traffic is intercepted</t>
  </si>
  <si>
    <t xml:space="preserve">V11</t>
  </si>
  <si>
    <t xml:space="preserve">H2, I1</t>
  </si>
  <si>
    <t xml:space="preserve">Art 32(1)(a)</t>
  </si>
  <si>
    <t xml:space="preserve">A.8.24</t>
  </si>
  <si>
    <t xml:space="preserve">CR-14</t>
  </si>
  <si>
    <t xml:space="preserve">Cross-border transfers and regional rules</t>
  </si>
  <si>
    <t xml:space="preserve">Every country that can access or receive personal data is listed with a transfer mechanism, regional residency needs are met, and local regulator requests can be supported.</t>
  </si>
  <si>
    <t xml:space="preserve">Unlawful transfer or breach of local data laws</t>
  </si>
  <si>
    <t xml:space="preserve">X5, X6; V6; R9</t>
  </si>
  <si>
    <t xml:space="preserve">I2, T1, T2, T3</t>
  </si>
  <si>
    <t xml:space="preserve">Art 30(2)(b)</t>
  </si>
  <si>
    <t xml:space="preserve">Arts 44 to 49</t>
  </si>
  <si>
    <t xml:space="preserve">A.5.34; A.5.23</t>
  </si>
  <si>
    <t xml:space="preserve">Regional rules (R9)</t>
  </si>
  <si>
    <t xml:space="preserve">CR-15</t>
  </si>
  <si>
    <t xml:space="preserve">Logging and monitoring</t>
  </si>
  <si>
    <t xml:space="preserve">Security events are logged immutably, exportable to the bank's SIEM, free of personal and card data and monitored for anomalies. Failed syncs raise alerts.</t>
  </si>
  <si>
    <t xml:space="preserve">Incidents go undetected, or logs leak personal data</t>
  </si>
  <si>
    <t xml:space="preserve">X6; FL</t>
  </si>
  <si>
    <t xml:space="preserve">E4, I6, J1, J2, J3</t>
  </si>
  <si>
    <t xml:space="preserve">Art 10</t>
  </si>
  <si>
    <t xml:space="preserve">Art 32; Art 33(2)</t>
  </si>
  <si>
    <t xml:space="preserve">A.8.15; A.8.16; A.8.11</t>
  </si>
  <si>
    <t xml:space="preserve">CR-16</t>
  </si>
  <si>
    <t xml:space="preserve">Fourth-party transparency</t>
  </si>
  <si>
    <t xml:space="preserve">The vendor lists each fourth party, the data it receives and its role, gives advance notice of changes with a right to object, and ensures deletion after use.</t>
  </si>
  <si>
    <t xml:space="preserve">Data spreads to suppliers the bank cannot see or control</t>
  </si>
  <si>
    <t xml:space="preserve">X7, X12; V9; FP1 to FP10</t>
  </si>
  <si>
    <t xml:space="preserve">K1, K2, K3, K4, K5</t>
  </si>
  <si>
    <t xml:space="preserve">Art 28(3); Art 28(4); Art 30(2)(a)</t>
  </si>
  <si>
    <t xml:space="preserve">Art 28(2); Art 28(4)</t>
  </si>
  <si>
    <t xml:space="preserve">A.5.19; A.5.21; A.5.22</t>
  </si>
  <si>
    <t xml:space="preserve">Tier 1 (deeper)</t>
  </si>
  <si>
    <t xml:space="preserve">CR-17</t>
  </si>
  <si>
    <t xml:space="preserve">Insurer hand-off</t>
  </si>
  <si>
    <t xml:space="preserve">Data sent to the group insurer is accurate and minimal, health information is protected, and a failed interface is detected.</t>
  </si>
  <si>
    <t xml:space="preserve">Wrong or excessive data reaches the insurer, or there is no cover during a trip</t>
  </si>
  <si>
    <t xml:space="preserve">X8; F9</t>
  </si>
  <si>
    <t xml:space="preserve">U1, U2, U3</t>
  </si>
  <si>
    <t xml:space="preserve">Art 9; Art 11</t>
  </si>
  <si>
    <t xml:space="preserve">Art 5(1)(d); Art 9; Art 32</t>
  </si>
  <si>
    <t xml:space="preserve">A.8.26; A.5.34; A.5.30</t>
  </si>
  <si>
    <t xml:space="preserve">CR-18</t>
  </si>
  <si>
    <t xml:space="preserve">Allowance integrity</t>
  </si>
  <si>
    <t xml:space="preserve">Only authorised Finance roles change the rate table, changes are approved and logged, and calculation errors are detected before payment.</t>
  </si>
  <si>
    <t xml:space="preserve">Wrong or fraudulent allowance payments</t>
  </si>
  <si>
    <t xml:space="preserve">X9; F10, F11</t>
  </si>
  <si>
    <t xml:space="preserve">D3, Q1, Q2</t>
  </si>
  <si>
    <t xml:space="preserve">A.8.32; A.5.3</t>
  </si>
  <si>
    <t xml:space="preserve">Allowance tax rules (R10)</t>
  </si>
  <si>
    <t xml:space="preserve">CR-19</t>
  </si>
  <si>
    <t xml:space="preserve">Gifts and loyalty</t>
  </si>
  <si>
    <t xml:space="preserve">Gift orders follow value limits and recipient rules with an audit trail. Loyalty data and discount codes are protected from misuse.</t>
  </si>
  <si>
    <t xml:space="preserve">Improper gifts and loyalty fraud</t>
  </si>
  <si>
    <t xml:space="preserve">S9, S11; F5d</t>
  </si>
  <si>
    <t xml:space="preserve">Q3, Q4, Q5</t>
  </si>
  <si>
    <t xml:space="preserve">A.5.3; A.5.15</t>
  </si>
  <si>
    <t xml:space="preserve">Anti-bribery and gifts policy (R5)</t>
  </si>
  <si>
    <t xml:space="preserve">CR-20</t>
  </si>
  <si>
    <t xml:space="preserve">Virtual cards</t>
  </si>
  <si>
    <t xml:space="preserve">Card numbers are held only where PCI DSS applies and is attested, cards are single-use with limits, and transactions are reconciled.</t>
  </si>
  <si>
    <t xml:space="preserve">Card misuse or card data exposure</t>
  </si>
  <si>
    <t xml:space="preserve">X11; V3; F12</t>
  </si>
  <si>
    <t xml:space="preserve">P1, P2, P3, P4</t>
  </si>
  <si>
    <t xml:space="preserve">Art 9; Art 28(4)</t>
  </si>
  <si>
    <t xml:space="preserve">A.5.22; A.8.24</t>
  </si>
  <si>
    <t xml:space="preserve">PCI DSS (R7)</t>
  </si>
  <si>
    <t xml:space="preserve">CR-21</t>
  </si>
  <si>
    <t xml:space="preserve">Guest booking control</t>
  </si>
  <si>
    <t xml:space="preserve">Only authorised bookers create guest bookings with sponsor approval, and guest data is minimal and short-lived.</t>
  </si>
  <si>
    <t xml:space="preserve">Unauthorised bookings and uncontrolled guest data</t>
  </si>
  <si>
    <t xml:space="preserve">X10; S5; FG</t>
  </si>
  <si>
    <t xml:space="preserve">F4, I7</t>
  </si>
  <si>
    <t xml:space="preserve">Art 5(1)(c); Art 5(1)(e)</t>
  </si>
  <si>
    <t xml:space="preserve">CR-22</t>
  </si>
  <si>
    <t xml:space="preserve">Approval integrity</t>
  </si>
  <si>
    <t xml:space="preserve">Approval messages are authenticated and cannot be forged or replayed, policy rules are version-controlled, and requesters cannot approve their own trips.</t>
  </si>
  <si>
    <t xml:space="preserve">Unapproved trips or spend</t>
  </si>
  <si>
    <t xml:space="preserve">F3, F6</t>
  </si>
  <si>
    <t xml:space="preserve">F1, F2, F3</t>
  </si>
  <si>
    <t xml:space="preserve">A.8.26; A.5.3</t>
  </si>
  <si>
    <t xml:space="preserve">CR-23</t>
  </si>
  <si>
    <t xml:space="preserve">Assurance evidence</t>
  </si>
  <si>
    <t xml:space="preserve">The vendor provides current independent assurance that covers all modules and sites: SOC 2 with a bridge letter, ISO 27001 scope, penetration test and PCI attestation.</t>
  </si>
  <si>
    <t xml:space="preserve">Reliance on claims or outdated reports</t>
  </si>
  <si>
    <t xml:space="preserve">V1 to V4</t>
  </si>
  <si>
    <t xml:space="preserve">L1, L2, L3</t>
  </si>
  <si>
    <t xml:space="preserve">Art 28(4); Art 30(3)(d)</t>
  </si>
  <si>
    <t xml:space="preserve">Art 28(1); Art 32(1)(d)</t>
  </si>
  <si>
    <t xml:space="preserve">A.5.22; A.8.8; A.8.29</t>
  </si>
  <si>
    <t xml:space="preserve">ISO 27001 and SOC 2 (R8)</t>
  </si>
  <si>
    <t xml:space="preserve">CR-24</t>
  </si>
  <si>
    <t xml:space="preserve">Resilience and incident support</t>
  </si>
  <si>
    <t xml:space="preserve">Recovery targets are met and tested, incidents are notified to the bank within an agreed time, and the vendor assists at no extra cost or a set cost.</t>
  </si>
  <si>
    <t xml:space="preserve">A long outage or a late breach notice</t>
  </si>
  <si>
    <t xml:space="preserve">V5; Tier 1</t>
  </si>
  <si>
    <t xml:space="preserve">M1, M2, N4</t>
  </si>
  <si>
    <t xml:space="preserve">Art 11; Art 12; Art 17; Art 30(2)(e); Art 30(2)(f); Art 30(3)(a)</t>
  </si>
  <si>
    <t xml:space="preserve">Art 32(1)(b); Art 32(1)(c); Art 33(2)</t>
  </si>
  <si>
    <t xml:space="preserve">A.5.24; A.5.26; A.5.30; A.8.13; A.8.14</t>
  </si>
  <si>
    <t xml:space="preserve">CR-25</t>
  </si>
  <si>
    <t xml:space="preserve">Contract terms</t>
  </si>
  <si>
    <t xml:space="preserve">The contract contains the DORA Art 30(2) terms and, because the service is Tier 1, the Art 30(3) terms, including audit rights and exit.</t>
  </si>
  <si>
    <t xml:space="preserve">No legal basis to enforce the controls</t>
  </si>
  <si>
    <t xml:space="preserve">R1; Tier 1</t>
  </si>
  <si>
    <t xml:space="preserve">N1, N2, N3, N4, N5, N6, N7</t>
  </si>
  <si>
    <t xml:space="preserve">Art 30(2); Art 30(3); Art 28(7)</t>
  </si>
  <si>
    <t xml:space="preserve">Art 28(3)</t>
  </si>
  <si>
    <t xml:space="preserve">A.5.20</t>
  </si>
  <si>
    <t xml:space="preserve">CR-26</t>
  </si>
  <si>
    <t xml:space="preserve">Tenant isolation</t>
  </si>
  <si>
    <t xml:space="preserve">Customer tenants are logically separated, tested and prevented from accessing each other's data.</t>
  </si>
  <si>
    <t xml:space="preserve">One client sees another client's data</t>
  </si>
  <si>
    <t xml:space="preserve">V12; F4</t>
  </si>
  <si>
    <t xml:space="preserve">I8</t>
  </si>
  <si>
    <t xml:space="preserve">A.8.3; A.8.22</t>
  </si>
  <si>
    <t xml:space="preserve">CR-27</t>
  </si>
  <si>
    <t xml:space="preserve">Architecture transparency</t>
  </si>
  <si>
    <t xml:space="preserve">The vendor documents its edition, interfaces and data flows, keeps them current, and tells the bank about changes.</t>
  </si>
  <si>
    <t xml:space="preserve">The bank assesses a picture that no longer matches reality</t>
  </si>
  <si>
    <t xml:space="preserve">Stage 3; all flows</t>
  </si>
  <si>
    <t xml:space="preserve">A1, A3, E2</t>
  </si>
  <si>
    <t xml:space="preserve">Art 8; Art 28(3); Art 30(2)(a)</t>
  </si>
  <si>
    <t xml:space="preserve">Art 30</t>
  </si>
  <si>
    <t xml:space="preserve">A.5.9; A.8.20</t>
  </si>
  <si>
    <t xml:space="preserve">CR-28</t>
  </si>
  <si>
    <t xml:space="preserve">AI and automation</t>
  </si>
  <si>
    <t xml:space="preserve">AI features and model providers are disclosed, bank data is not used for model training unless agreed, and automated actions stay under human control.</t>
  </si>
  <si>
    <t xml:space="preserve">Bank data leaks into models, or automated actions go unchecked</t>
  </si>
  <si>
    <t xml:space="preserve">AI note; V13 (to add in Stage 2)</t>
  </si>
  <si>
    <t xml:space="preserve">W1, W2, W3</t>
  </si>
  <si>
    <t xml:space="preserve">Art 28(3); Art 30(2)(a)</t>
  </si>
  <si>
    <t xml:space="preserve">Art 5(1)(b); Art 28(2)</t>
  </si>
  <si>
    <t xml:space="preserve">A.5.19; A.5.21; A.8.26</t>
  </si>
  <si>
    <t xml:space="preserve">ISO/IEC 42001, EU AI Act (to check)</t>
  </si>
  <si>
    <t xml:space="preserve">Vendor questionnaire</t>
  </si>
  <si>
    <t xml:space="preserve">Vendor</t>
  </si>
  <si>
    <t xml:space="preserve">Vendor X (fictional)</t>
  </si>
  <si>
    <t xml:space="preserve">Assessor</t>
  </si>
  <si>
    <t xml:space="preserve">Service reviewed</t>
  </si>
  <si>
    <t xml:space="preserve">Corporate travel management platform, Tier 1</t>
  </si>
  <si>
    <t xml:space="preserve">Date</t>
  </si>
  <si>
    <t xml:space="preserve">ID</t>
  </si>
  <si>
    <t xml:space="preserve">Domain</t>
  </si>
  <si>
    <t xml:space="preserve">Question</t>
  </si>
  <si>
    <t xml:space="preserve">Control</t>
  </si>
  <si>
    <t xml:space="preserve">Evidence to request</t>
  </si>
  <si>
    <t xml:space="preserve">Vendor response</t>
  </si>
  <si>
    <t xml:space="preserve">Evidence status</t>
  </si>
  <si>
    <t xml:space="preserve">Assessor notes</t>
  </si>
  <si>
    <t xml:space="preserve">EX</t>
  </si>
  <si>
    <t xml:space="preserve">Identity and sign-on</t>
  </si>
  <si>
    <t xml:space="preserve">Is MFA enforced at the IdP for every login?</t>
  </si>
  <si>
    <t xml:space="preserve">FS</t>
  </si>
  <si>
    <t xml:space="preserve">MFA policy export</t>
  </si>
  <si>
    <t xml:space="preserve">Yes. Enforced through conditional access for all users including admins. Two vaulted break-glass accounts are excluded.</t>
  </si>
  <si>
    <t xml:space="preserve">Received</t>
  </si>
  <si>
    <t xml:space="preserve">Satisfactory</t>
  </si>
  <si>
    <t xml:space="preserve">Policy export dated 15 Sep 2026 reviewed.</t>
  </si>
  <si>
    <t xml:space="preserve">A1</t>
  </si>
  <si>
    <t xml:space="preserve">Scope and service model</t>
  </si>
  <si>
    <t xml:space="preserve">Is the service multi-tenant SaaS, single-tenant cloud, or self-hosted? Which edition and version are we buying?</t>
  </si>
  <si>
    <t xml:space="preserve">All</t>
  </si>
  <si>
    <t xml:space="preserve">Architecture overview; order form showing edition</t>
  </si>
  <si>
    <t xml:space="preserve">Not requested</t>
  </si>
  <si>
    <t xml:space="preserve">A2</t>
  </si>
  <si>
    <t xml:space="preserve">Which data categories will the service store or process (employee data, passport/ID numbers, financial data)?</t>
  </si>
  <si>
    <t xml:space="preserve">Data inventory; data-flow diagram</t>
  </si>
  <si>
    <t xml:space="preserve">A3</t>
  </si>
  <si>
    <t xml:space="preserve">Which of our systems does the service connect to, and which side initiates each connection?</t>
  </si>
  <si>
    <t xml:space="preserve">Integration diagram showing trust boundaries</t>
  </si>
  <si>
    <t xml:space="preserve">B1</t>
  </si>
  <si>
    <t xml:space="preserve">Does the service support SAML 2.0 or OIDC with our IdP, and is SSO enforced for all users?</t>
  </si>
  <si>
    <t xml:space="preserve">FS, FG, F10</t>
  </si>
  <si>
    <t xml:space="preserve">SSO configuration screenshot; enforcement setting</t>
  </si>
  <si>
    <t xml:space="preserve">B2</t>
  </si>
  <si>
    <t xml:space="preserve">Can local username/password login be disabled for every user, including administrators? Which break-glass accounts exist?</t>
  </si>
  <si>
    <t xml:space="preserve">Setting screenshot; list of exceptions</t>
  </si>
  <si>
    <t xml:space="preserve">B3</t>
  </si>
  <si>
    <t xml:space="preserve">Is MFA enforced at the IdP for every login, and how can we verify it from the service side?</t>
  </si>
  <si>
    <t xml:space="preserve">MFA / conditional access policy export</t>
  </si>
  <si>
    <t xml:space="preserve">B4</t>
  </si>
  <si>
    <t xml:space="preserve">What session timeout, re-authentication and device or network restrictions apply?</t>
  </si>
  <si>
    <t xml:space="preserve">Session policy settings</t>
  </si>
  <si>
    <t xml:space="preserve">C1</t>
  </si>
  <si>
    <t xml:space="preserve">Provisioning and leavers</t>
  </si>
  <si>
    <t xml:space="preserve">How are accounts created (SCIM, API, manual, self-signup)? Is self-signup disabled?</t>
  </si>
  <si>
    <t xml:space="preserve">FA, FS</t>
  </si>
  <si>
    <t xml:space="preserve">Provisioning configuration; self-signup setting</t>
  </si>
  <si>
    <t xml:space="preserve">C2</t>
  </si>
  <si>
    <t xml:space="preserve">When the HRIS or IdP marks a user inactive, how quickly is access removed in the service?</t>
  </si>
  <si>
    <t xml:space="preserve">Leaver test with timestamps</t>
  </si>
  <si>
    <t xml:space="preserve">C3</t>
  </si>
  <si>
    <t xml:space="preserve">How are role changes (movers) reflected in groups, roles and entitlements?</t>
  </si>
  <si>
    <t xml:space="preserve">FA</t>
  </si>
  <si>
    <t xml:space="preserve">Group-to-role mapping; sample mover record</t>
  </si>
  <si>
    <t xml:space="preserve">C4</t>
  </si>
  <si>
    <t xml:space="preserve">How are seats assigned and reclaimed, and are dormant accounts reported?</t>
  </si>
  <si>
    <t xml:space="preserve">License report; dormant-account review</t>
  </si>
  <si>
    <t xml:space="preserve">C5</t>
  </si>
  <si>
    <t xml:space="preserve">How often are user access reviews performed, and who signs them off?</t>
  </si>
  <si>
    <t xml:space="preserve">Last access review record</t>
  </si>
  <si>
    <t xml:space="preserve">D1</t>
  </si>
  <si>
    <t xml:space="preserve">Administration and access</t>
  </si>
  <si>
    <t xml:space="preserve">Who holds administrator rights on the vendor side and on our side? Are admin accounts separate, MFA-protected and logged?</t>
  </si>
  <si>
    <t xml:space="preserve">FS, FV</t>
  </si>
  <si>
    <t xml:space="preserve">Admin list; admin role model</t>
  </si>
  <si>
    <t xml:space="preserve">D2</t>
  </si>
  <si>
    <t xml:space="preserve">Can vendor support staff access our data? Under what approval, time limit and logging?</t>
  </si>
  <si>
    <t xml:space="preserve">FV</t>
  </si>
  <si>
    <t xml:space="preserve">Support access policy; sample access log</t>
  </si>
  <si>
    <t xml:space="preserve">D3</t>
  </si>
  <si>
    <t xml:space="preserve">Can entitlement rules (grade-based travel rules) be changed only by authorized admins, and are changes logged?</t>
  </si>
  <si>
    <t xml:space="preserve">F10</t>
  </si>
  <si>
    <t xml:space="preserve">Role matrix; change log extract</t>
  </si>
  <si>
    <t xml:space="preserve">D4</t>
  </si>
  <si>
    <t xml:space="preserve">Is vendor support access to production data from outside the EU (for example from India) restricted, time-limited and approved case by case?</t>
  </si>
  <si>
    <t xml:space="preserve">How is visibility of executive and VIP itineraries restricted, including for vendor staff and for bank booker accounts?</t>
  </si>
  <si>
    <t xml:space="preserve">VIP profile configuration; access test result</t>
  </si>
  <si>
    <t xml:space="preserve">E1</t>
  </si>
  <si>
    <t xml:space="preserve">HR data sync</t>
  </si>
  <si>
    <t xml:space="preserve">Which employee fields are received, and are they limited to the minimum needed?</t>
  </si>
  <si>
    <t xml:space="preserve">FA, F3</t>
  </si>
  <si>
    <t xml:space="preserve">CR-05, CR-12</t>
  </si>
  <si>
    <t xml:space="preserve">Field mapping / data dictionary</t>
  </si>
  <si>
    <t xml:space="preserve">E2</t>
  </si>
  <si>
    <t xml:space="preserve">What method (REST, webhook, SFTP) and direction is used, and who initiates the connection?</t>
  </si>
  <si>
    <t xml:space="preserve">Interface specification</t>
  </si>
  <si>
    <t xml:space="preserve">E3</t>
  </si>
  <si>
    <t xml:space="preserve">How are credentials (API tokens, SFTP keys) stored, scoped and rotated?</t>
  </si>
  <si>
    <t xml:space="preserve">FA, F3, F11</t>
  </si>
  <si>
    <t xml:space="preserve">Key management procedure; rotation records</t>
  </si>
  <si>
    <t xml:space="preserve">E4</t>
  </si>
  <si>
    <t xml:space="preserve">What happens when a sync fails or sends bad data (alerting, retry, reconciliation)?</t>
  </si>
  <si>
    <t xml:space="preserve">Runbook; sample failed-sync alert</t>
  </si>
  <si>
    <t xml:space="preserve">F1</t>
  </si>
  <si>
    <t xml:space="preserve">Approvals and policy</t>
  </si>
  <si>
    <t xml:space="preserve">How are policy rules defined, approved and version-controlled?</t>
  </si>
  <si>
    <t xml:space="preserve">F3, F4</t>
  </si>
  <si>
    <t xml:space="preserve">Policy configuration; change approvals</t>
  </si>
  <si>
    <t xml:space="preserve">F2</t>
  </si>
  <si>
    <t xml:space="preserve">How is an approval request authenticated so it cannot be forged or replayed?</t>
  </si>
  <si>
    <t xml:space="preserve">Technical description; pen-test finding summary</t>
  </si>
  <si>
    <t xml:space="preserve">F3</t>
  </si>
  <si>
    <t xml:space="preserve">Is segregation of duties enforced (a requester cannot approve their own booking)?</t>
  </si>
  <si>
    <t xml:space="preserve">Test result or configuration evidence</t>
  </si>
  <si>
    <t xml:space="preserve">F4</t>
  </si>
  <si>
    <t xml:space="preserve">How does the platform stop users who are not authorised bookers from creating bookings, and how is the sponsor's approval enforced for guest travel?</t>
  </si>
  <si>
    <t xml:space="preserve">FG</t>
  </si>
  <si>
    <t xml:space="preserve">Role configuration; guest booking workflow test</t>
  </si>
  <si>
    <t xml:space="preserve">G1</t>
  </si>
  <si>
    <t xml:space="preserve">Financial sync</t>
  </si>
  <si>
    <t xml:space="preserve">What financial data is sent to our ERP, and does the vendor have only write access to a staging area?</t>
  </si>
  <si>
    <t xml:space="preserve">F7, F11</t>
  </si>
  <si>
    <t xml:space="preserve">Interface spec; ERP role scope</t>
  </si>
  <si>
    <t xml:space="preserve">G2</t>
  </si>
  <si>
    <t xml:space="preserve">How are completeness and integrity checked (reconciliation, duplicate detection)?</t>
  </si>
  <si>
    <t xml:space="preserve">F7</t>
  </si>
  <si>
    <t xml:space="preserve">Sample reconciliation report</t>
  </si>
  <si>
    <t xml:space="preserve">G3</t>
  </si>
  <si>
    <t xml:space="preserve">How are payment details and supplier data protected against tampering?</t>
  </si>
  <si>
    <t xml:space="preserve">F7, F8</t>
  </si>
  <si>
    <t xml:space="preserve">Change control procedure</t>
  </si>
  <si>
    <t xml:space="preserve">G4</t>
  </si>
  <si>
    <t xml:space="preserve">How are invoices sent to our ERP authenticated and protected against tampering (for example signing or mutual TLS)?</t>
  </si>
  <si>
    <t xml:space="preserve">Interface specification; security design</t>
  </si>
  <si>
    <t xml:space="preserve">G5</t>
  </si>
  <si>
    <t xml:space="preserve">How does the vendor detect duplicate or altered invoices before they reach us, and how are changes to its bank details verified with us?</t>
  </si>
  <si>
    <t xml:space="preserve">Procedure; sample control log</t>
  </si>
  <si>
    <t xml:space="preserve">H1</t>
  </si>
  <si>
    <t xml:space="preserve">Network and gateway</t>
  </si>
  <si>
    <t xml:space="preserve">Which IP ranges and domains does the vendor use, and how are changes announced so we can allow-list them?</t>
  </si>
  <si>
    <t xml:space="preserve">FA, F3, F6, F11, F7</t>
  </si>
  <si>
    <t xml:space="preserve">IP / domain list; notification process</t>
  </si>
  <si>
    <t xml:space="preserve">H2</t>
  </si>
  <si>
    <t xml:space="preserve">Which TLS versions and cipher policy are used? Is mutual TLS available for APIs?</t>
  </si>
  <si>
    <t xml:space="preserve">CR-02, CR-13</t>
  </si>
  <si>
    <t xml:space="preserve">TLS scan report</t>
  </si>
  <si>
    <t xml:space="preserve">H3</t>
  </si>
  <si>
    <t xml:space="preserve">How are APIs authenticated (OAuth, keys), scoped and rate-limited?</t>
  </si>
  <si>
    <t xml:space="preserve">API security documentation</t>
  </si>
  <si>
    <t xml:space="preserve">I1</t>
  </si>
  <si>
    <t xml:space="preserve">Data protection</t>
  </si>
  <si>
    <t xml:space="preserve">How is data encrypted at rest and in transit, who manages keys, and is a customer-managed key option available?</t>
  </si>
  <si>
    <t xml:space="preserve">FH</t>
  </si>
  <si>
    <t xml:space="preserve">Encryption standard; key management description</t>
  </si>
  <si>
    <t xml:space="preserve">I2</t>
  </si>
  <si>
    <t xml:space="preserve">In which countries and regions is data hosted and backed up? Are there cross-border transfers?</t>
  </si>
  <si>
    <t xml:space="preserve">FV, FN, FL, F5</t>
  </si>
  <si>
    <t xml:space="preserve">Hosting locations; data localization statement</t>
  </si>
  <si>
    <t xml:space="preserve">I3</t>
  </si>
  <si>
    <t xml:space="preserve">What are the retention, deletion and return rules at contract end, including backups?</t>
  </si>
  <si>
    <t xml:space="preserve">F4, FG</t>
  </si>
  <si>
    <t xml:space="preserve">Retention schedule; deletion certificate sample</t>
  </si>
  <si>
    <t xml:space="preserve">I4</t>
  </si>
  <si>
    <t xml:space="preserve">How is sensitive personal data (passport, ID, emergency contacts) protected (masking, field-level encryption)?</t>
  </si>
  <si>
    <t xml:space="preserve">F3, F5c, F12</t>
  </si>
  <si>
    <t xml:space="preserve">Data-handling procedure</t>
  </si>
  <si>
    <t xml:space="preserve">I5</t>
  </si>
  <si>
    <t xml:space="preserve">Is our data used for development, testing or AI model training?</t>
  </si>
  <si>
    <t xml:space="preserve">Written policy statement; contract clause</t>
  </si>
  <si>
    <t xml:space="preserve">I6</t>
  </si>
  <si>
    <t xml:space="preserve">How are personal data and card data kept out of application logs and monitoring tools?</t>
  </si>
  <si>
    <t xml:space="preserve">FL</t>
  </si>
  <si>
    <t xml:space="preserve">Log redaction standard; sample log extract</t>
  </si>
  <si>
    <t xml:space="preserve">I7</t>
  </si>
  <si>
    <t xml:space="preserve">How long is guest data kept after the trip, and how is it deleted?</t>
  </si>
  <si>
    <t xml:space="preserve">CR-12, CR-21</t>
  </si>
  <si>
    <t xml:space="preserve">Retention schedule; deletion record</t>
  </si>
  <si>
    <t xml:space="preserve">How is separation between customer tenants enforced and tested?</t>
  </si>
  <si>
    <t xml:space="preserve">Architecture description; test report</t>
  </si>
  <si>
    <t xml:space="preserve">J1</t>
  </si>
  <si>
    <t xml:space="preserve">Are logins, bookings, approvals, admin actions and sync events logged immutably? How long are logs kept?</t>
  </si>
  <si>
    <t xml:space="preserve">Log schema; retention policy</t>
  </si>
  <si>
    <t xml:space="preserve">J2</t>
  </si>
  <si>
    <t xml:space="preserve">Can we export logs to our SIEM in near real time?</t>
  </si>
  <si>
    <t xml:space="preserve">Integration documentation (syslog / API)</t>
  </si>
  <si>
    <t xml:space="preserve">J3</t>
  </si>
  <si>
    <t xml:space="preserve">How are suspicious events detected, and how are we alerted?</t>
  </si>
  <si>
    <t xml:space="preserve">Monitoring and alerting description</t>
  </si>
  <si>
    <t xml:space="preserve">K1</t>
  </si>
  <si>
    <t xml:space="preserve">Subprocessors</t>
  </si>
  <si>
    <t xml:space="preserve">Who are the subprocessors and fourth parties (hosting, booking suppliers, payment), what data do they get and where?</t>
  </si>
  <si>
    <t xml:space="preserve">F5, F9, F12</t>
  </si>
  <si>
    <t xml:space="preserve">Subprocessor list</t>
  </si>
  <si>
    <t xml:space="preserve">K2</t>
  </si>
  <si>
    <t xml:space="preserve">How are subprocessors assessed, and how are we notified of changes?</t>
  </si>
  <si>
    <t xml:space="preserve">FW3</t>
  </si>
  <si>
    <t xml:space="preserve">Vendor management policy; notification clause</t>
  </si>
  <si>
    <t xml:space="preserve">K3</t>
  </si>
  <si>
    <t xml:space="preserve">For each fourth party, which personal data is shared, for what purpose, and is the supplier a processor or an independent controller?</t>
  </si>
  <si>
    <t xml:space="preserve">F5</t>
  </si>
  <si>
    <t xml:space="preserve">Data-sharing register</t>
  </si>
  <si>
    <t xml:space="preserve">K4</t>
  </si>
  <si>
    <t xml:space="preserve">Does the contract give us advance notice of subprocessor changes and a right to object?</t>
  </si>
  <si>
    <t xml:space="preserve">Contract clause; notification process</t>
  </si>
  <si>
    <t xml:space="preserve">K5</t>
  </si>
  <si>
    <t xml:space="preserve">How do visa agencies and other suppliers delete or return data after the trip?</t>
  </si>
  <si>
    <t xml:space="preserve">F5c</t>
  </si>
  <si>
    <t xml:space="preserve">Supplier deletion terms; sample confirmation</t>
  </si>
  <si>
    <t xml:space="preserve">L1</t>
  </si>
  <si>
    <t xml:space="preserve">Assurance</t>
  </si>
  <si>
    <t xml:space="preserve">Is there a current SOC 2 Type II or ISO 27001 report whose scope covers this service?</t>
  </si>
  <si>
    <t xml:space="preserve">Report or certificate; bridge letter</t>
  </si>
  <si>
    <t xml:space="preserve">L2</t>
  </si>
  <si>
    <t xml:space="preserve">When was the last independent penetration test, and what is the remediation status?</t>
  </si>
  <si>
    <t xml:space="preserve">Test summary; remediation tracker</t>
  </si>
  <si>
    <t xml:space="preserve">L3</t>
  </si>
  <si>
    <t xml:space="preserve">What are the vulnerability management and patching timelines?</t>
  </si>
  <si>
    <t xml:space="preserve">Vulnerability management policy</t>
  </si>
  <si>
    <t xml:space="preserve">M1</t>
  </si>
  <si>
    <t xml:space="preserve">Resilience and exit</t>
  </si>
  <si>
    <t xml:space="preserve">What are the RTO, RPO and uptime SLA, and when was disaster recovery last tested?</t>
  </si>
  <si>
    <t xml:space="preserve">BCP / DR summary; last test report</t>
  </si>
  <si>
    <t xml:space="preserve">M2</t>
  </si>
  <si>
    <t xml:space="preserve">What is the breach notification commitment and process?</t>
  </si>
  <si>
    <t xml:space="preserve">Incident response policy; contract clause</t>
  </si>
  <si>
    <t xml:space="preserve">M3</t>
  </si>
  <si>
    <t xml:space="preserve">What is the exit plan (data export formats, transition support) and our manual fallback if the vendor is unavailable?</t>
  </si>
  <si>
    <t xml:space="preserve">Exit plan; export sample</t>
  </si>
  <si>
    <t xml:space="preserve">N1</t>
  </si>
  <si>
    <t xml:space="preserve">Does the contract fully describe the services, the functions supported, and the conditions for subcontracting?</t>
  </si>
  <si>
    <t xml:space="preserve">Contract and service description</t>
  </si>
  <si>
    <t xml:space="preserve">N2</t>
  </si>
  <si>
    <t xml:space="preserve">Does the vendor commit to cooperate with our competent and resolution authorities?</t>
  </si>
  <si>
    <t xml:space="preserve">Contract clause</t>
  </si>
  <si>
    <t xml:space="preserve">N3</t>
  </si>
  <si>
    <t xml:space="preserve">What termination rights and minimum notice periods does the contract provide?</t>
  </si>
  <si>
    <t xml:space="preserve">N4</t>
  </si>
  <si>
    <t xml:space="preserve">Does the vendor assist with ICT incidents at no extra cost or at a predetermined cost?</t>
  </si>
  <si>
    <t xml:space="preserve">CR-24, CR-25</t>
  </si>
  <si>
    <t xml:space="preserve">Contract clause; price schedule</t>
  </si>
  <si>
    <t xml:space="preserve">N5</t>
  </si>
  <si>
    <t xml:space="preserve">Does the contract guarantee access to, recovery and return of our data if the vendor becomes insolvent or stops the service?</t>
  </si>
  <si>
    <t xml:space="preserve">Contract clause; escrow or export terms</t>
  </si>
  <si>
    <t xml:space="preserve">N6</t>
  </si>
  <si>
    <t xml:space="preserve">Will the vendor take part in our security awareness and resilience training where required?</t>
  </si>
  <si>
    <t xml:space="preserve">N7</t>
  </si>
  <si>
    <t xml:space="preserve">Does the contract give us rights of access, inspection and audit over the service?</t>
  </si>
  <si>
    <t xml:space="preserve">O1</t>
  </si>
  <si>
    <t xml:space="preserve">Connector and credentials</t>
  </si>
  <si>
    <t xml:space="preserve">Which source IP addresses will the connector use to reach our systems, and are they fixed, documented and announced before any change?</t>
  </si>
  <si>
    <t xml:space="preserve">IP address list; change notification process</t>
  </si>
  <si>
    <t xml:space="preserve">O2</t>
  </si>
  <si>
    <t xml:space="preserve">Does the connector use mutual TLS or an equivalent strong client authentication for each connection to our systems?</t>
  </si>
  <si>
    <t xml:space="preserve">Interface specification; certificate management procedure</t>
  </si>
  <si>
    <t xml:space="preserve">O3</t>
  </si>
  <si>
    <t xml:space="preserve">Where are our credentials for the HR system, HR portal, expense system and ERP stored, and who at the vendor can read them?</t>
  </si>
  <si>
    <t xml:space="preserve">FA, F3, F6, F11</t>
  </si>
  <si>
    <t xml:space="preserve">Secrets management procedure; access list</t>
  </si>
  <si>
    <t xml:space="preserve">How often are these credentials rotated, and can we force immediate rotation or revocation?</t>
  </si>
  <si>
    <t xml:space="preserve">Rotation schedule; revocation test</t>
  </si>
  <si>
    <t xml:space="preserve">O5</t>
  </si>
  <si>
    <t xml:space="preserve">Is the connector a dedicated instance for our bank, and how is it patched, monitored and isolated from other customers?</t>
  </si>
  <si>
    <t xml:space="preserve">Architecture description; patching records</t>
  </si>
  <si>
    <t xml:space="preserve">O6</t>
  </si>
  <si>
    <t xml:space="preserve">How does the connector enforce read-only access and the agreed data fields, and how is this logged?</t>
  </si>
  <si>
    <t xml:space="preserve">Account permissions; field mapping; log sample</t>
  </si>
  <si>
    <t xml:space="preserve">O7</t>
  </si>
  <si>
    <t xml:space="preserve">What happens to the connector and our credentials at contract end, and how is deletion evidenced?</t>
  </si>
  <si>
    <t xml:space="preserve">Offboarding procedure; deletion certificate</t>
  </si>
  <si>
    <t xml:space="preserve">P1</t>
  </si>
  <si>
    <t xml:space="preserve">Which party stores or processes card numbers, and does each hold a current PCI DSS attestation that covers this service?</t>
  </si>
  <si>
    <t xml:space="preserve">F12</t>
  </si>
  <si>
    <t xml:space="preserve">Attestations of compliance for the vendor and Card Provider Y</t>
  </si>
  <si>
    <t xml:space="preserve">P2</t>
  </si>
  <si>
    <t xml:space="preserve">Are virtual cards single-use with a spending limit per booking, and who can change the limits?</t>
  </si>
  <si>
    <t xml:space="preserve">Card configuration; limit change log</t>
  </si>
  <si>
    <t xml:space="preserve">P3</t>
  </si>
  <si>
    <t xml:space="preserve">Does the platform hold full card numbers or only tokens, and how are numbers protected when shown to users?</t>
  </si>
  <si>
    <t xml:space="preserve">Data flow description; screenshots</t>
  </si>
  <si>
    <t xml:space="preserve">P4</t>
  </si>
  <si>
    <t xml:space="preserve">How are card transactions reconciled to bookings and to the monthly invoice, and how are disputes handled?</t>
  </si>
  <si>
    <t xml:space="preserve">Reconciliation report; dispute procedure</t>
  </si>
  <si>
    <t xml:space="preserve">Q1</t>
  </si>
  <si>
    <t xml:space="preserve">Allowance, gifts and loyalty</t>
  </si>
  <si>
    <t xml:space="preserve">Who can change the daily allowance rate table, and how are changes approved, logged and made visible to Finance?</t>
  </si>
  <si>
    <t xml:space="preserve">Q2</t>
  </si>
  <si>
    <t xml:space="preserve">How is the allowance calculated, and how are calculation errors detected before the amount reaches payroll or the expense system?</t>
  </si>
  <si>
    <t xml:space="preserve">F11</t>
  </si>
  <si>
    <t xml:space="preserve">Calculation specification; test cases</t>
  </si>
  <si>
    <t xml:space="preserve">Q3</t>
  </si>
  <si>
    <t xml:space="preserve">How are gift and flower orders checked against value limits and recipient restrictions, and how is the audit trail kept?</t>
  </si>
  <si>
    <t xml:space="preserve">F5d</t>
  </si>
  <si>
    <t xml:space="preserve">Workflow configuration; sample audit trail</t>
  </si>
  <si>
    <t xml:space="preserve">Q4</t>
  </si>
  <si>
    <t xml:space="preserve">How are loyalty and frequent flyer numbers stored, and who can see or use them?</t>
  </si>
  <si>
    <t xml:space="preserve">Data handling description; access list</t>
  </si>
  <si>
    <t xml:space="preserve">Q5</t>
  </si>
  <si>
    <t xml:space="preserve">How are discount codes and corporate rates protected from misuse?</t>
  </si>
  <si>
    <t xml:space="preserve">F5a</t>
  </si>
  <si>
    <t xml:space="preserve">Access and usage controls; sample report</t>
  </si>
  <si>
    <t xml:space="preserve">T1</t>
  </si>
  <si>
    <t xml:space="preserve">Regional and transfers</t>
  </si>
  <si>
    <t xml:space="preserve">Which countries can access or receive personal data (support, subprocessors, suppliers), and what transfer mechanism applies to each?</t>
  </si>
  <si>
    <t xml:space="preserve">Transfer register; transfer assessments</t>
  </si>
  <si>
    <t xml:space="preserve">T2</t>
  </si>
  <si>
    <t xml:space="preserve">Can data for a region be kept in that region where local law requires it, for example for staff in Asia or Mexico?</t>
  </si>
  <si>
    <t xml:space="preserve">Hosting options; data residency statement</t>
  </si>
  <si>
    <t xml:space="preserve">T3</t>
  </si>
  <si>
    <t xml:space="preserve">Can the vendor meet local regulator information and audit requests for the bank's non-EU entities?</t>
  </si>
  <si>
    <t xml:space="preserve">Regulatory cooperation statement; contract clause</t>
  </si>
  <si>
    <t xml:space="preserve">U1</t>
  </si>
  <si>
    <t xml:space="preserve">Insurance hand-off</t>
  </si>
  <si>
    <t xml:space="preserve">Which data does the platform send to the group insurer, and how is its accuracy checked (for example matching name and date of birth)?</t>
  </si>
  <si>
    <t xml:space="preserve">F9</t>
  </si>
  <si>
    <t xml:space="preserve">Interface specification; validation rules</t>
  </si>
  <si>
    <t xml:space="preserve">U2</t>
  </si>
  <si>
    <t xml:space="preserve">How are assistance requests and any health information handled, stored and shared with the emergency assistance partner?</t>
  </si>
  <si>
    <t xml:space="preserve">Data handling procedure; retention rule</t>
  </si>
  <si>
    <t xml:space="preserve">U3</t>
  </si>
  <si>
    <t xml:space="preserve">What happens if the insurer interface fails during a trip, and who is alerted?</t>
  </si>
  <si>
    <t xml:space="preserve">Runbook; alert sample</t>
  </si>
  <si>
    <t xml:space="preserve">W1</t>
  </si>
  <si>
    <t xml:space="preserve">Does the platform use AI or automated decision features (for example chat assistants, recommendations or automated approvals), and which providers or models are used?</t>
  </si>
  <si>
    <t xml:space="preserve">AI feature inventory; model provider list</t>
  </si>
  <si>
    <t xml:space="preserve">W2</t>
  </si>
  <si>
    <t xml:space="preserve">Is bank data used to train or improve models, by the vendor or any provider, and can this be switched off contractually?</t>
  </si>
  <si>
    <t xml:space="preserve">Contract clause; data-use statement</t>
  </si>
  <si>
    <t xml:space="preserve">W3</t>
  </si>
  <si>
    <t xml:space="preserve">How are AI outputs checked so that they cannot approve spend or change records without human control?</t>
  </si>
  <si>
    <t xml:space="preserve">AI governance procedure; human-in-the-loop evidence</t>
  </si>
  <si>
    <t xml:space="preserve">Regulatory map</t>
  </si>
  <si>
    <t xml:space="preserve">DORA = Regulation (EU) 2022/2554. GDPR = Regulation (EU) 2016/679. ISO = ISO/IEC 27001:2022 Annex A. Other uses the Stage 1 regulation IDs. Article-level and indicative only.</t>
  </si>
  <si>
    <t xml:space="preserve">DORA reference</t>
  </si>
  <si>
    <t xml:space="preserve">DORA proportionality</t>
  </si>
  <si>
    <t xml:space="preserve">GDPR reference</t>
  </si>
  <si>
    <t xml:space="preserve">Other reference</t>
  </si>
  <si>
    <t xml:space="preserve">Art 28(4); Art 30(2)(a)</t>
  </si>
  <si>
    <t xml:space="preserve">Baseline</t>
  </si>
  <si>
    <t xml:space="preserve">Art 28(1)</t>
  </si>
  <si>
    <t xml:space="preserve">A.5.21; A.5.23</t>
  </si>
  <si>
    <t xml:space="preserve">Art 8; Art 28(3)</t>
  </si>
  <si>
    <t xml:space="preserve">Art 5(1)(c); Art 30</t>
  </si>
  <si>
    <t xml:space="preserve">A.5.9; A.5.12</t>
  </si>
  <si>
    <t xml:space="preserve">A.5.16; A.8.5</t>
  </si>
  <si>
    <t xml:space="preserve">A.5.17; A.8.5</t>
  </si>
  <si>
    <t xml:space="preserve">A.8.5</t>
  </si>
  <si>
    <t xml:space="preserve">A.8.5; A.8.1</t>
  </si>
  <si>
    <t xml:space="preserve">A.5.16; A.5.18</t>
  </si>
  <si>
    <t xml:space="preserve">A.5.18; A.6.5</t>
  </si>
  <si>
    <t xml:space="preserve">A.5.18</t>
  </si>
  <si>
    <t xml:space="preserve">A.8.2; A.5.15</t>
  </si>
  <si>
    <t xml:space="preserve">A.5.19; A.8.2; A.8.15</t>
  </si>
  <si>
    <t xml:space="preserve">Art 28(3)(b); Arts 44 to 49; Art 32</t>
  </si>
  <si>
    <t xml:space="preserve">Art 30(2)(c)</t>
  </si>
  <si>
    <t xml:space="preserve">Art 5(1)(c)</t>
  </si>
  <si>
    <t xml:space="preserve">A.5.34</t>
  </si>
  <si>
    <t xml:space="preserve">Art 8; Art 9</t>
  </si>
  <si>
    <t xml:space="preserve">A.5.14; A.8.20</t>
  </si>
  <si>
    <t xml:space="preserve">Art 10; Art 11</t>
  </si>
  <si>
    <t xml:space="preserve">A.8.16</t>
  </si>
  <si>
    <t xml:space="preserve">A.8.32</t>
  </si>
  <si>
    <t xml:space="preserve">A.8.26</t>
  </si>
  <si>
    <t xml:space="preserve">A.5.3</t>
  </si>
  <si>
    <t xml:space="preserve">Art 9; Art 30(2)(c)</t>
  </si>
  <si>
    <t xml:space="preserve">A.5.15; A.8.3</t>
  </si>
  <si>
    <t xml:space="preserve">A.8.32; A.8.26</t>
  </si>
  <si>
    <t xml:space="preserve">A.8.26; A.8.24</t>
  </si>
  <si>
    <t xml:space="preserve">A.8.24; A.8.20</t>
  </si>
  <si>
    <t xml:space="preserve">A.8.5; A.8.26</t>
  </si>
  <si>
    <t xml:space="preserve">Art 30(2)(d)</t>
  </si>
  <si>
    <t xml:space="preserve">Art 5(1)(e); Art 28(3)(g)</t>
  </si>
  <si>
    <t xml:space="preserve">A.8.10</t>
  </si>
  <si>
    <t xml:space="preserve">A.5.34; A.8.11</t>
  </si>
  <si>
    <t xml:space="preserve">Art 5(1)(b); Art 28(3)(a)</t>
  </si>
  <si>
    <t xml:space="preserve">A.8.31; A.8.33</t>
  </si>
  <si>
    <t xml:space="preserve">Art 9; Art 10</t>
  </si>
  <si>
    <t xml:space="preserve">A.8.15; A.8.11</t>
  </si>
  <si>
    <t xml:space="preserve">Art 5(1)(e)</t>
  </si>
  <si>
    <t xml:space="preserve">A.8.15</t>
  </si>
  <si>
    <t xml:space="preserve">A.8.15; A.8.16</t>
  </si>
  <si>
    <t xml:space="preserve">Art 33(2)</t>
  </si>
  <si>
    <t xml:space="preserve">Deeper if critical or important</t>
  </si>
  <si>
    <t xml:space="preserve">A.5.19; A.5.21</t>
  </si>
  <si>
    <t xml:space="preserve">Art 28(2)</t>
  </si>
  <si>
    <t xml:space="preserve">A.5.22</t>
  </si>
  <si>
    <t xml:space="preserve">A.5.19; A.5.34</t>
  </si>
  <si>
    <t xml:space="preserve">Art 28(4)</t>
  </si>
  <si>
    <t xml:space="preserve">Art 32(1)(d)</t>
  </si>
  <si>
    <t xml:space="preserve">A.8.8; A.8.29</t>
  </si>
  <si>
    <t xml:space="preserve">A.8.8</t>
  </si>
  <si>
    <t xml:space="preserve">Art 11; Art 12; Art 30(2)(e)</t>
  </si>
  <si>
    <t xml:space="preserve">Art 32(1)(b); Art 32(1)(c)</t>
  </si>
  <si>
    <t xml:space="preserve">A.5.30; A.8.13; A.8.14</t>
  </si>
  <si>
    <t xml:space="preserve">Art 17; Art 30(2)(f)</t>
  </si>
  <si>
    <t xml:space="preserve">A.5.24; A.5.26</t>
  </si>
  <si>
    <t xml:space="preserve">Art 28(7); Art 28(8); Art 30(3)(f)</t>
  </si>
  <si>
    <t xml:space="preserve">A.5.23</t>
  </si>
  <si>
    <t xml:space="preserve">Art 30(2)(a)</t>
  </si>
  <si>
    <t xml:space="preserve">Art 30(2)(g)</t>
  </si>
  <si>
    <t xml:space="preserve">Art 31</t>
  </si>
  <si>
    <t xml:space="preserve">Art 28(7); Art 30(2)(h)</t>
  </si>
  <si>
    <t xml:space="preserve">Art 30(2)(f)</t>
  </si>
  <si>
    <t xml:space="preserve">Art 28(3)(f)</t>
  </si>
  <si>
    <t xml:space="preserve">A.5.20; A.5.26</t>
  </si>
  <si>
    <t xml:space="preserve">Art 30(2)(i)</t>
  </si>
  <si>
    <t xml:space="preserve">A.5.20; A.6.3</t>
  </si>
  <si>
    <t xml:space="preserve">Art 30(3)(e)</t>
  </si>
  <si>
    <t xml:space="preserve">Art 28(3)(h)</t>
  </si>
  <si>
    <t xml:space="preserve">A.8.22; A.8.8</t>
  </si>
  <si>
    <t xml:space="preserve">A.8.3</t>
  </si>
  <si>
    <t xml:space="preserve">A.8.24; A.8.11</t>
  </si>
  <si>
    <t xml:space="preserve">A.5.3; A.8.15</t>
  </si>
  <si>
    <t xml:space="preserve">A.5.34; A.8.3</t>
  </si>
  <si>
    <t xml:space="preserve">A.5.15</t>
  </si>
  <si>
    <t xml:space="preserve">A.5.31</t>
  </si>
  <si>
    <t xml:space="preserve">Art 5(1)(d); Art 32</t>
  </si>
  <si>
    <t xml:space="preserve">A.8.26; A.5.34</t>
  </si>
  <si>
    <t xml:space="preserve">Art 9; Art 32</t>
  </si>
  <si>
    <t xml:space="preserve">Art 11</t>
  </si>
  <si>
    <t xml:space="preserve">A.5.30</t>
  </si>
  <si>
    <t xml:space="preserve">A.5.34; A.8.33</t>
  </si>
  <si>
    <t xml:space="preserve">Art 22 (if individuals are affected)</t>
  </si>
  <si>
    <t xml:space="preserve">ISO 27001 view</t>
  </si>
  <si>
    <t xml:space="preserve">Annex A controls (ISO/IEC 27001:2022) that this assessment tests. This is a coverage view, not a Statement of Applicability for the bank.</t>
  </si>
  <si>
    <t xml:space="preserve">Annex A control</t>
  </si>
  <si>
    <t xml:space="preserve">Title</t>
  </si>
  <si>
    <t xml:space="preserve">Theme</t>
  </si>
  <si>
    <t xml:space="preserve">Evidence expected (first three)</t>
  </si>
  <si>
    <t xml:space="preserve">Segregation of duties</t>
  </si>
  <si>
    <t xml:space="preserve">Organizational</t>
  </si>
  <si>
    <t xml:space="preserve">CR-18, CR-19, CR-21, CR-22, CR-28</t>
  </si>
  <si>
    <t xml:space="preserve">D3, F3, F4, Q1, Q3, W3</t>
  </si>
  <si>
    <t xml:space="preserve">Role matrix; change log extract; Test result or configuration evidence; Role configuration; guest booking workflow test</t>
  </si>
  <si>
    <t xml:space="preserve">A.5.9</t>
  </si>
  <si>
    <t xml:space="preserve">Inventory of information and other associated assets</t>
  </si>
  <si>
    <t xml:space="preserve">CR-12, CR-27</t>
  </si>
  <si>
    <t xml:space="preserve">A2, A3</t>
  </si>
  <si>
    <t xml:space="preserve">Data inventory; data-flow diagram; Integration diagram showing trust boundaries</t>
  </si>
  <si>
    <t xml:space="preserve">A.5.12</t>
  </si>
  <si>
    <t xml:space="preserve">Classification of information</t>
  </si>
  <si>
    <t xml:space="preserve">A.5.14</t>
  </si>
  <si>
    <t xml:space="preserve">Information transfer</t>
  </si>
  <si>
    <t xml:space="preserve">Access control</t>
  </si>
  <si>
    <t xml:space="preserve">CR-05, CR-09, CR-10, CR-11, CR-19, CR-21</t>
  </si>
  <si>
    <t xml:space="preserve">D1, D5, F4, G1, O6, Q5</t>
  </si>
  <si>
    <t xml:space="preserve">Admin list; admin role model; VIP profile configuration; access test result; Role configuration; guest booking workflow test</t>
  </si>
  <si>
    <t xml:space="preserve">A.5.16</t>
  </si>
  <si>
    <t xml:space="preserve">Identity management</t>
  </si>
  <si>
    <t xml:space="preserve">CR-07, CR-08</t>
  </si>
  <si>
    <t xml:space="preserve">B1, C1</t>
  </si>
  <si>
    <t xml:space="preserve">SSO configuration screenshot; enforcement setting; Provisioning configuration; self-signup setting</t>
  </si>
  <si>
    <t xml:space="preserve">Authentication information</t>
  </si>
  <si>
    <t xml:space="preserve">CR-03, CR-04, CR-07</t>
  </si>
  <si>
    <t xml:space="preserve">B2, O3, O4</t>
  </si>
  <si>
    <t xml:space="preserve">Setting screenshot; list of exceptions; Secrets management procedure; access list; Rotation schedule; revocation test</t>
  </si>
  <si>
    <t xml:space="preserve">Access rights</t>
  </si>
  <si>
    <t xml:space="preserve">CR-06, CR-08</t>
  </si>
  <si>
    <t xml:space="preserve">C1, C2, C3, C4, C5, O7</t>
  </si>
  <si>
    <t xml:space="preserve">Provisioning configuration; self-signup setting; Leaver test with timestamps; Group-to-role mapping; sample mover record</t>
  </si>
  <si>
    <t xml:space="preserve">A.5.19</t>
  </si>
  <si>
    <t xml:space="preserve">Information security in supplier relationships</t>
  </si>
  <si>
    <t xml:space="preserve">CR-09, CR-16, CR-28</t>
  </si>
  <si>
    <t xml:space="preserve">D2, K1, K3, W1</t>
  </si>
  <si>
    <t xml:space="preserve">Support access policy; sample access log; Subprocessor list; Data-sharing register</t>
  </si>
  <si>
    <t xml:space="preserve">Addressing information security within supplier agreements</t>
  </si>
  <si>
    <t xml:space="preserve">CR-06, CR-24, CR-25</t>
  </si>
  <si>
    <t xml:space="preserve">N1, N2, N3, N4, N5, N6, O7</t>
  </si>
  <si>
    <t xml:space="preserve">Contract and service description; Contract clause; Contract clause; price schedule</t>
  </si>
  <si>
    <t xml:space="preserve">A.5.21</t>
  </si>
  <si>
    <t xml:space="preserve">Managing information security in the ICT supply chain</t>
  </si>
  <si>
    <t xml:space="preserve">CR-16, CR-27, CR-28</t>
  </si>
  <si>
    <t xml:space="preserve">A1, K1, W1</t>
  </si>
  <si>
    <t xml:space="preserve">Architecture overview; order form showing edition; Subprocessor list; AI feature inventory; model provider list</t>
  </si>
  <si>
    <t xml:space="preserve">Monitoring, review and change management of supplier services</t>
  </si>
  <si>
    <t xml:space="preserve">CR-16, CR-20, CR-23, CR-25</t>
  </si>
  <si>
    <t xml:space="preserve">K2, K4, L1, N7, P1</t>
  </si>
  <si>
    <t xml:space="preserve">Vendor management policy; notification clause; Contract clause; notification process; Report or certificate; bridge letter</t>
  </si>
  <si>
    <t xml:space="preserve">Information security for use of cloud services</t>
  </si>
  <si>
    <t xml:space="preserve">CR-06, CR-14, CR-27</t>
  </si>
  <si>
    <t xml:space="preserve">A1, I2, M3, T1</t>
  </si>
  <si>
    <t xml:space="preserve">Architecture overview; order form showing edition; Hosting locations; data localization statement; Exit plan; export sample</t>
  </si>
  <si>
    <t xml:space="preserve">A.5.24</t>
  </si>
  <si>
    <t xml:space="preserve">Information security incident management planning and preparation</t>
  </si>
  <si>
    <t xml:space="preserve">A.5.26</t>
  </si>
  <si>
    <t xml:space="preserve">Response to information security incidents</t>
  </si>
  <si>
    <t xml:space="preserve">M2, N4</t>
  </si>
  <si>
    <t xml:space="preserve">Incident response policy; contract clause; Contract clause; price schedule</t>
  </si>
  <si>
    <t xml:space="preserve">ICT readiness for business continuity</t>
  </si>
  <si>
    <t xml:space="preserve">CR-17, CR-24</t>
  </si>
  <si>
    <t xml:space="preserve">M1, U3</t>
  </si>
  <si>
    <t xml:space="preserve">BCP / DR summary; last test report; Runbook; alert sample</t>
  </si>
  <si>
    <t xml:space="preserve">Legal, statutory, regulatory and contractual requirements</t>
  </si>
  <si>
    <t xml:space="preserve">Privacy and protection of PII</t>
  </si>
  <si>
    <t xml:space="preserve">CR-05, CR-12, CR-14, CR-16, CR-17, CR-19, CR-28</t>
  </si>
  <si>
    <t xml:space="preserve">E1, I2, I4, K3, Q4, T1, T2, U1, U2, W2</t>
  </si>
  <si>
    <t xml:space="preserve">Field mapping / data dictionary; Hosting locations; data localization statement; Data-handling procedure</t>
  </si>
  <si>
    <t xml:space="preserve">A.6.3</t>
  </si>
  <si>
    <t xml:space="preserve">Information security awareness, education and training</t>
  </si>
  <si>
    <t xml:space="preserve">People</t>
  </si>
  <si>
    <t xml:space="preserve">A.6.5</t>
  </si>
  <si>
    <t xml:space="preserve">Responsibilities after termination or change of employment</t>
  </si>
  <si>
    <t xml:space="preserve">A.8.1</t>
  </si>
  <si>
    <t xml:space="preserve">User endpoint devices</t>
  </si>
  <si>
    <t xml:space="preserve">Technological</t>
  </si>
  <si>
    <t xml:space="preserve">A.8.2</t>
  </si>
  <si>
    <t xml:space="preserve">Privileged access rights</t>
  </si>
  <si>
    <t xml:space="preserve">Admin list; admin role model; Support access policy; sample access log</t>
  </si>
  <si>
    <t xml:space="preserve">Information access restriction</t>
  </si>
  <si>
    <t xml:space="preserve">CR-05, CR-10, CR-11, CR-19, CR-20, CR-26</t>
  </si>
  <si>
    <t xml:space="preserve">D5, G1, I8, O6, P2, Q4</t>
  </si>
  <si>
    <t xml:space="preserve">VIP profile configuration; access test result; Interface spec; ERP role scope; Architecture description; test report</t>
  </si>
  <si>
    <t xml:space="preserve">Secure authentication</t>
  </si>
  <si>
    <t xml:space="preserve">CR-02, CR-07</t>
  </si>
  <si>
    <t xml:space="preserve">B1, B2, B3, B4, H3, O2</t>
  </si>
  <si>
    <t xml:space="preserve">SSO configuration screenshot; enforcement setting; Setting screenshot; list of exceptions; MFA / conditional access policy export</t>
  </si>
  <si>
    <t xml:space="preserve">Management of technical vulnerabilities</t>
  </si>
  <si>
    <t xml:space="preserve">CR-05, CR-23</t>
  </si>
  <si>
    <t xml:space="preserve">L2, L3, O5</t>
  </si>
  <si>
    <t xml:space="preserve">Test summary; remediation tracker; Vulnerability management policy; Architecture description; patching records</t>
  </si>
  <si>
    <t xml:space="preserve">Information deletion</t>
  </si>
  <si>
    <t xml:space="preserve">CR-12, CR-16, CR-21</t>
  </si>
  <si>
    <t xml:space="preserve">I3, I7, K5</t>
  </si>
  <si>
    <t xml:space="preserve">Retention schedule; deletion certificate sample; Retention schedule; deletion record; Supplier deletion terms; sample confirmation</t>
  </si>
  <si>
    <t xml:space="preserve">A.8.11</t>
  </si>
  <si>
    <t xml:space="preserve">Data masking</t>
  </si>
  <si>
    <t xml:space="preserve">CR-12, CR-15, CR-17, CR-20</t>
  </si>
  <si>
    <t xml:space="preserve">I4, I6, P3, U2</t>
  </si>
  <si>
    <t xml:space="preserve">Data-handling procedure; Log redaction standard; sample log extract; Data flow description; screenshots</t>
  </si>
  <si>
    <t xml:space="preserve">A.8.13</t>
  </si>
  <si>
    <t xml:space="preserve">Information backup</t>
  </si>
  <si>
    <t xml:space="preserve">A.8.14</t>
  </si>
  <si>
    <t xml:space="preserve">Redundancy of information processing facilities</t>
  </si>
  <si>
    <t xml:space="preserve">Logging</t>
  </si>
  <si>
    <t xml:space="preserve">CR-09, CR-15, CR-19</t>
  </si>
  <si>
    <t xml:space="preserve">D2, D4, I6, J1, J2, Q3</t>
  </si>
  <si>
    <t xml:space="preserve">Support access policy; sample access log; Log redaction standard; sample log extract; Log schema; retention policy</t>
  </si>
  <si>
    <t xml:space="preserve">Monitoring activities</t>
  </si>
  <si>
    <t xml:space="preserve">E4, J2, J3</t>
  </si>
  <si>
    <t xml:space="preserve">Runbook; sample failed-sync alert; Integration documentation (syslog / API); Monitoring and alerting description</t>
  </si>
  <si>
    <t xml:space="preserve">A.8.20</t>
  </si>
  <si>
    <t xml:space="preserve">Networks security</t>
  </si>
  <si>
    <t xml:space="preserve">CR-01, CR-02, CR-13, CR-27</t>
  </si>
  <si>
    <t xml:space="preserve">A3, E2, H1, H2, O1</t>
  </si>
  <si>
    <t xml:space="preserve">Integration diagram showing trust boundaries; Interface specification; IP / domain list; notification process</t>
  </si>
  <si>
    <t xml:space="preserve">A.8.22</t>
  </si>
  <si>
    <t xml:space="preserve">Segregation of networks</t>
  </si>
  <si>
    <t xml:space="preserve">CR-01, CR-05, CR-26</t>
  </si>
  <si>
    <t xml:space="preserve">H1, I8, O1, O5</t>
  </si>
  <si>
    <t xml:space="preserve">IP / domain list; notification process; Architecture description; test report; IP address list; change notification process</t>
  </si>
  <si>
    <t xml:space="preserve">Use of cryptography</t>
  </si>
  <si>
    <t xml:space="preserve">CR-02, CR-03, CR-11, CR-13, CR-20</t>
  </si>
  <si>
    <t xml:space="preserve">E3, G4, H2, I1, O2, O3, P1, P3</t>
  </si>
  <si>
    <t xml:space="preserve">Key management procedure; rotation records; Interface specification; security design; TLS scan report</t>
  </si>
  <si>
    <t xml:space="preserve">Application security requirements</t>
  </si>
  <si>
    <t xml:space="preserve">CR-02, CR-11, CR-17, CR-18, CR-20, CR-22, CR-28</t>
  </si>
  <si>
    <t xml:space="preserve">F2, G2, G3, G4, G5, H3, P4, Q2, U1, W3</t>
  </si>
  <si>
    <t xml:space="preserve">Technical description; pen-test finding summary; Sample reconciliation report; Change control procedure</t>
  </si>
  <si>
    <t xml:space="preserve">A.8.29</t>
  </si>
  <si>
    <t xml:space="preserve">Security testing in development and acceptance</t>
  </si>
  <si>
    <t xml:space="preserve">A.8.31</t>
  </si>
  <si>
    <t xml:space="preserve">Separation of development, test and production environments</t>
  </si>
  <si>
    <t xml:space="preserve">Change management</t>
  </si>
  <si>
    <t xml:space="preserve">CR-11, CR-18, CR-22</t>
  </si>
  <si>
    <t xml:space="preserve">D3, F1, G3, G5, Q1</t>
  </si>
  <si>
    <t xml:space="preserve">Role matrix; change log extract; Policy configuration; change approvals; Change control procedure</t>
  </si>
  <si>
    <t xml:space="preserve">A.8.33</t>
  </si>
  <si>
    <t xml:space="preserve">Test information</t>
  </si>
  <si>
    <t xml:space="preserve">CR-12, CR-28</t>
  </si>
  <si>
    <t xml:space="preserve">I5, W2</t>
  </si>
  <si>
    <t xml:space="preserve">Written policy statement; contract clause; Contract clause; data-use statement</t>
  </si>
  <si>
    <t xml:space="preserve">Assessment summary</t>
  </si>
  <si>
    <t xml:space="preserve">Counts update from the Questionnaire sheet (example row excluded).</t>
  </si>
  <si>
    <t xml:space="preserve">Partial</t>
  </si>
  <si>
    <t xml:space="preserve">Gap</t>
  </si>
  <si>
    <t xml:space="preserve">Not applicable</t>
  </si>
  <si>
    <t xml:space="preserve">Not yet rated</t>
  </si>
  <si>
    <t xml:space="preserve">Evidence accepted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</si>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</sst>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2F3B4C"/>
        <bgColor rgb="FF333300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7C1C1"/>
        </patternFill>
      </fill>
    </dxf>
    <dxf>
      <fill>
        <patternFill>
          <bgColor rgb="FFFAC775"/>
        </patternFill>
      </fill>
    </dxf>
    <dxf>
      <fill>
        <patternFill>
          <bgColor rgb="FFC0DD9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0DD97"/>
      <rgbColor rgb="FFFFFF99"/>
      <rgbColor rgb="FF99CCFF"/>
      <rgbColor rgb="FFF7C1C1"/>
      <rgbColor rgb="FFCC99FF"/>
      <rgbColor rgb="FFFAC77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</cols>
  <sheetData>
    <row r="1" customFormat="false" ht="64.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  <c r="B2" s="3" t="s">
        <v>2</v>
      </c>
    </row>
    <row r="3" customFormat="false" ht="23.85" hidden="false" customHeight="false" outlineLevel="0" collapsed="false">
      <c r="A3" s="2" t="s">
        <v>3</v>
      </c>
      <c r="B3" s="3" t="s">
        <v>4</v>
      </c>
    </row>
    <row r="4" customFormat="false" ht="23.85" hidden="false" customHeight="false" outlineLevel="0" collapsed="false">
      <c r="A4" s="2" t="s">
        <v>5</v>
      </c>
      <c r="B4" s="3" t="s">
        <v>6</v>
      </c>
    </row>
    <row r="5" customFormat="false" ht="35.05" hidden="false" customHeight="false" outlineLevel="0" collapsed="false">
      <c r="A5" s="2" t="s">
        <v>7</v>
      </c>
      <c r="B5" s="3" t="s">
        <v>8</v>
      </c>
    </row>
    <row r="6" customFormat="false" ht="23.8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8" customFormat="false" ht="15" hidden="false" customHeight="false" outlineLevel="0" collapsed="false">
      <c r="A8" s="2" t="s">
        <v>13</v>
      </c>
      <c r="B8" s="3" t="s">
        <v>14</v>
      </c>
    </row>
    <row r="9" customFormat="false" ht="23.85" hidden="false" customHeight="false" outlineLevel="0" collapsed="false">
      <c r="A9" s="2" t="s">
        <v>15</v>
      </c>
      <c r="B9" s="3" t="s">
        <v>16</v>
      </c>
    </row>
    <row r="10" customFormat="false" ht="23.85" hidden="false" customHeight="false" outlineLevel="0" collapsed="false">
      <c r="A10" s="2" t="s">
        <v>17</v>
      </c>
      <c r="B10" s="3" t="s">
        <v>18</v>
      </c>
    </row>
    <row r="11" customFormat="false" ht="35.05" hidden="false" customHeight="false" outlineLevel="0" collapsed="false">
      <c r="A11" s="2" t="s">
        <v>19</v>
      </c>
      <c r="B11" s="3" t="s">
        <v>20</v>
      </c>
    </row>
    <row r="12" customFormat="false" ht="23.85" hidden="false" customHeight="false" outlineLevel="0" collapsed="false">
      <c r="A12" s="2" t="s">
        <v>21</v>
      </c>
      <c r="B12" s="3" t="s">
        <v>22</v>
      </c>
    </row>
    <row r="13" customFormat="false" ht="15" hidden="false" customHeight="false" outlineLevel="0" collapsed="false">
      <c r="A13" s="2" t="s">
        <v>23</v>
      </c>
      <c r="B13" s="3" t="s">
        <v>24</v>
      </c>
    </row>
    <row r="16" customFormat="false" ht="15" hidden="false" customHeight="false" outlineLevel="0" collapsed="false">
      <c r="A16" s="4" t="s">
        <v>25</v>
      </c>
      <c r="B16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58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10" min="8" style="0" width="22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6" t="s">
        <v>27</v>
      </c>
    </row>
    <row r="2" customFormat="false" ht="15" hidden="false" customHeight="false" outlineLevel="0" collapsed="false">
      <c r="A2" s="7" t="s">
        <v>28</v>
      </c>
    </row>
    <row r="4" customFormat="false" ht="15" hidden="false" customHeight="false" outlineLevel="0" collapsed="false">
      <c r="A4" s="8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15</v>
      </c>
    </row>
    <row r="5" customFormat="false" ht="35.05" hidden="false" customHeight="false" outlineLevel="0" collapsed="false">
      <c r="A5" s="9" t="s">
        <v>39</v>
      </c>
      <c r="B5" s="9" t="s">
        <v>40</v>
      </c>
      <c r="C5" s="10" t="s">
        <v>41</v>
      </c>
      <c r="D5" s="10" t="s">
        <v>42</v>
      </c>
      <c r="E5" s="10" t="s">
        <v>43</v>
      </c>
      <c r="F5" s="10" t="s">
        <v>44</v>
      </c>
      <c r="G5" s="10" t="s">
        <v>45</v>
      </c>
      <c r="H5" s="10" t="s">
        <v>46</v>
      </c>
      <c r="I5" s="10" t="s">
        <v>47</v>
      </c>
      <c r="J5" s="10"/>
      <c r="K5" s="10" t="s">
        <v>48</v>
      </c>
    </row>
    <row r="6" customFormat="false" ht="23.85" hidden="false" customHeight="false" outlineLevel="0" collapsed="false">
      <c r="A6" s="9" t="s">
        <v>49</v>
      </c>
      <c r="B6" s="9" t="s">
        <v>50</v>
      </c>
      <c r="C6" s="10" t="s">
        <v>51</v>
      </c>
      <c r="D6" s="10" t="s">
        <v>52</v>
      </c>
      <c r="E6" s="10" t="s">
        <v>53</v>
      </c>
      <c r="F6" s="10" t="s">
        <v>54</v>
      </c>
      <c r="G6" s="10" t="s">
        <v>45</v>
      </c>
      <c r="H6" s="10" t="s">
        <v>46</v>
      </c>
      <c r="I6" s="10" t="s">
        <v>55</v>
      </c>
      <c r="J6" s="10"/>
      <c r="K6" s="10" t="s">
        <v>48</v>
      </c>
    </row>
    <row r="7" customFormat="false" ht="35.05" hidden="false" customHeight="false" outlineLevel="0" collapsed="false">
      <c r="A7" s="9" t="s">
        <v>56</v>
      </c>
      <c r="B7" s="9" t="s">
        <v>57</v>
      </c>
      <c r="C7" s="10" t="s">
        <v>58</v>
      </c>
      <c r="D7" s="10" t="s">
        <v>59</v>
      </c>
      <c r="E7" s="10" t="s">
        <v>60</v>
      </c>
      <c r="F7" s="10" t="s">
        <v>61</v>
      </c>
      <c r="G7" s="10" t="s">
        <v>45</v>
      </c>
      <c r="H7" s="10" t="s">
        <v>46</v>
      </c>
      <c r="I7" s="10" t="s">
        <v>62</v>
      </c>
      <c r="J7" s="10"/>
      <c r="K7" s="10" t="s">
        <v>48</v>
      </c>
    </row>
    <row r="8" customFormat="false" ht="35.05" hidden="false" customHeight="false" outlineLevel="0" collapsed="false">
      <c r="A8" s="9" t="s">
        <v>63</v>
      </c>
      <c r="B8" s="9" t="s">
        <v>64</v>
      </c>
      <c r="C8" s="10" t="s">
        <v>65</v>
      </c>
      <c r="D8" s="10" t="s">
        <v>66</v>
      </c>
      <c r="E8" s="10" t="s">
        <v>60</v>
      </c>
      <c r="F8" s="10" t="s">
        <v>67</v>
      </c>
      <c r="G8" s="10" t="s">
        <v>45</v>
      </c>
      <c r="H8" s="10" t="s">
        <v>46</v>
      </c>
      <c r="I8" s="10" t="s">
        <v>68</v>
      </c>
      <c r="J8" s="10"/>
      <c r="K8" s="10" t="s">
        <v>48</v>
      </c>
    </row>
    <row r="9" customFormat="false" ht="23.85" hidden="false" customHeight="false" outlineLevel="0" collapsed="false">
      <c r="A9" s="9" t="s">
        <v>69</v>
      </c>
      <c r="B9" s="9" t="s">
        <v>70</v>
      </c>
      <c r="C9" s="10" t="s">
        <v>71</v>
      </c>
      <c r="D9" s="10" t="s">
        <v>72</v>
      </c>
      <c r="E9" s="10" t="s">
        <v>73</v>
      </c>
      <c r="F9" s="10" t="s">
        <v>74</v>
      </c>
      <c r="G9" s="10" t="s">
        <v>45</v>
      </c>
      <c r="H9" s="10" t="s">
        <v>75</v>
      </c>
      <c r="I9" s="10" t="s">
        <v>76</v>
      </c>
      <c r="J9" s="10"/>
      <c r="K9" s="10" t="s">
        <v>48</v>
      </c>
    </row>
    <row r="10" customFormat="false" ht="23.85" hidden="false" customHeight="false" outlineLevel="0" collapsed="false">
      <c r="A10" s="9" t="s">
        <v>77</v>
      </c>
      <c r="B10" s="9" t="s">
        <v>78</v>
      </c>
      <c r="C10" s="10" t="s">
        <v>79</v>
      </c>
      <c r="D10" s="10" t="s">
        <v>80</v>
      </c>
      <c r="E10" s="10" t="s">
        <v>81</v>
      </c>
      <c r="F10" s="10" t="s">
        <v>82</v>
      </c>
      <c r="G10" s="10" t="s">
        <v>83</v>
      </c>
      <c r="H10" s="10" t="s">
        <v>84</v>
      </c>
      <c r="I10" s="10" t="s">
        <v>85</v>
      </c>
      <c r="J10" s="10"/>
      <c r="K10" s="10" t="s">
        <v>86</v>
      </c>
    </row>
    <row r="11" customFormat="false" ht="23.85" hidden="false" customHeight="false" outlineLevel="0" collapsed="false">
      <c r="A11" s="9" t="s">
        <v>87</v>
      </c>
      <c r="B11" s="9" t="s">
        <v>88</v>
      </c>
      <c r="C11" s="10" t="s">
        <v>89</v>
      </c>
      <c r="D11" s="10" t="s">
        <v>90</v>
      </c>
      <c r="E11" s="10" t="s">
        <v>91</v>
      </c>
      <c r="F11" s="10" t="s">
        <v>92</v>
      </c>
      <c r="G11" s="10" t="s">
        <v>45</v>
      </c>
      <c r="H11" s="10" t="s">
        <v>46</v>
      </c>
      <c r="I11" s="10" t="s">
        <v>93</v>
      </c>
      <c r="J11" s="10"/>
      <c r="K11" s="10" t="s">
        <v>48</v>
      </c>
    </row>
    <row r="12" customFormat="false" ht="35.05" hidden="false" customHeight="false" outlineLevel="0" collapsed="false">
      <c r="A12" s="9" t="s">
        <v>94</v>
      </c>
      <c r="B12" s="9" t="s">
        <v>95</v>
      </c>
      <c r="C12" s="10" t="s">
        <v>96</v>
      </c>
      <c r="D12" s="10" t="s">
        <v>97</v>
      </c>
      <c r="E12" s="10" t="s">
        <v>98</v>
      </c>
      <c r="F12" s="10" t="s">
        <v>99</v>
      </c>
      <c r="G12" s="10" t="s">
        <v>45</v>
      </c>
      <c r="H12" s="10" t="s">
        <v>46</v>
      </c>
      <c r="I12" s="10" t="s">
        <v>100</v>
      </c>
      <c r="J12" s="10"/>
      <c r="K12" s="10" t="s">
        <v>48</v>
      </c>
    </row>
    <row r="13" customFormat="false" ht="35.05" hidden="false" customHeight="false" outlineLevel="0" collapsed="false">
      <c r="A13" s="9" t="s">
        <v>101</v>
      </c>
      <c r="B13" s="9" t="s">
        <v>102</v>
      </c>
      <c r="C13" s="10" t="s">
        <v>103</v>
      </c>
      <c r="D13" s="10" t="s">
        <v>104</v>
      </c>
      <c r="E13" s="10" t="s">
        <v>105</v>
      </c>
      <c r="F13" s="10" t="s">
        <v>106</v>
      </c>
      <c r="G13" s="10" t="s">
        <v>45</v>
      </c>
      <c r="H13" s="10" t="s">
        <v>107</v>
      </c>
      <c r="I13" s="10" t="s">
        <v>108</v>
      </c>
      <c r="J13" s="10"/>
      <c r="K13" s="10" t="s">
        <v>48</v>
      </c>
    </row>
    <row r="14" customFormat="false" ht="23.85" hidden="false" customHeight="false" outlineLevel="0" collapsed="false">
      <c r="A14" s="9" t="s">
        <v>109</v>
      </c>
      <c r="B14" s="9" t="s">
        <v>110</v>
      </c>
      <c r="C14" s="10" t="s">
        <v>111</v>
      </c>
      <c r="D14" s="10" t="s">
        <v>112</v>
      </c>
      <c r="E14" s="10" t="s">
        <v>113</v>
      </c>
      <c r="F14" s="10" t="s">
        <v>114</v>
      </c>
      <c r="G14" s="10" t="s">
        <v>45</v>
      </c>
      <c r="H14" s="10" t="s">
        <v>46</v>
      </c>
      <c r="I14" s="10" t="s">
        <v>115</v>
      </c>
      <c r="J14" s="10"/>
      <c r="K14" s="10" t="s">
        <v>48</v>
      </c>
    </row>
    <row r="15" customFormat="false" ht="35.05" hidden="false" customHeight="false" outlineLevel="0" collapsed="false">
      <c r="A15" s="9" t="s">
        <v>116</v>
      </c>
      <c r="B15" s="9" t="s">
        <v>117</v>
      </c>
      <c r="C15" s="10" t="s">
        <v>118</v>
      </c>
      <c r="D15" s="10" t="s">
        <v>119</v>
      </c>
      <c r="E15" s="10" t="s">
        <v>120</v>
      </c>
      <c r="F15" s="10" t="s">
        <v>121</v>
      </c>
      <c r="G15" s="10" t="s">
        <v>45</v>
      </c>
      <c r="H15" s="10" t="s">
        <v>122</v>
      </c>
      <c r="I15" s="10" t="s">
        <v>123</v>
      </c>
      <c r="J15" s="10"/>
      <c r="K15" s="10" t="s">
        <v>48</v>
      </c>
    </row>
    <row r="16" customFormat="false" ht="35.05" hidden="false" customHeight="false" outlineLevel="0" collapsed="false">
      <c r="A16" s="9" t="s">
        <v>124</v>
      </c>
      <c r="B16" s="9" t="s">
        <v>125</v>
      </c>
      <c r="C16" s="10" t="s">
        <v>126</v>
      </c>
      <c r="D16" s="10" t="s">
        <v>127</v>
      </c>
      <c r="E16" s="10" t="s">
        <v>128</v>
      </c>
      <c r="F16" s="10" t="s">
        <v>129</v>
      </c>
      <c r="G16" s="10" t="s">
        <v>130</v>
      </c>
      <c r="H16" s="10" t="s">
        <v>131</v>
      </c>
      <c r="I16" s="10" t="s">
        <v>132</v>
      </c>
      <c r="J16" s="10"/>
      <c r="K16" s="10" t="s">
        <v>48</v>
      </c>
    </row>
    <row r="17" customFormat="false" ht="23.85" hidden="false" customHeight="false" outlineLevel="0" collapsed="false">
      <c r="A17" s="9" t="s">
        <v>133</v>
      </c>
      <c r="B17" s="9" t="s">
        <v>134</v>
      </c>
      <c r="C17" s="10" t="s">
        <v>135</v>
      </c>
      <c r="D17" s="10" t="s">
        <v>136</v>
      </c>
      <c r="E17" s="10" t="s">
        <v>137</v>
      </c>
      <c r="F17" s="10" t="s">
        <v>138</v>
      </c>
      <c r="G17" s="10" t="s">
        <v>45</v>
      </c>
      <c r="H17" s="10" t="s">
        <v>139</v>
      </c>
      <c r="I17" s="10" t="s">
        <v>140</v>
      </c>
      <c r="J17" s="10"/>
      <c r="K17" s="10" t="s">
        <v>48</v>
      </c>
    </row>
    <row r="18" customFormat="false" ht="35.05" hidden="false" customHeight="false" outlineLevel="0" collapsed="false">
      <c r="A18" s="9" t="s">
        <v>141</v>
      </c>
      <c r="B18" s="9" t="s">
        <v>142</v>
      </c>
      <c r="C18" s="10" t="s">
        <v>143</v>
      </c>
      <c r="D18" s="10" t="s">
        <v>144</v>
      </c>
      <c r="E18" s="10" t="s">
        <v>145</v>
      </c>
      <c r="F18" s="10" t="s">
        <v>146</v>
      </c>
      <c r="G18" s="10" t="s">
        <v>147</v>
      </c>
      <c r="H18" s="10" t="s">
        <v>148</v>
      </c>
      <c r="I18" s="10" t="s">
        <v>149</v>
      </c>
      <c r="J18" s="10" t="s">
        <v>150</v>
      </c>
      <c r="K18" s="10" t="s">
        <v>48</v>
      </c>
    </row>
    <row r="19" customFormat="false" ht="35.05" hidden="false" customHeight="false" outlineLevel="0" collapsed="false">
      <c r="A19" s="9" t="s">
        <v>151</v>
      </c>
      <c r="B19" s="9" t="s">
        <v>152</v>
      </c>
      <c r="C19" s="10" t="s">
        <v>153</v>
      </c>
      <c r="D19" s="10" t="s">
        <v>154</v>
      </c>
      <c r="E19" s="10" t="s">
        <v>155</v>
      </c>
      <c r="F19" s="10" t="s">
        <v>156</v>
      </c>
      <c r="G19" s="10" t="s">
        <v>157</v>
      </c>
      <c r="H19" s="10" t="s">
        <v>158</v>
      </c>
      <c r="I19" s="10" t="s">
        <v>159</v>
      </c>
      <c r="J19" s="10"/>
      <c r="K19" s="10" t="s">
        <v>48</v>
      </c>
    </row>
    <row r="20" customFormat="false" ht="35.05" hidden="false" customHeight="false" outlineLevel="0" collapsed="false">
      <c r="A20" s="9" t="s">
        <v>160</v>
      </c>
      <c r="B20" s="9" t="s">
        <v>161</v>
      </c>
      <c r="C20" s="10" t="s">
        <v>162</v>
      </c>
      <c r="D20" s="10" t="s">
        <v>163</v>
      </c>
      <c r="E20" s="10" t="s">
        <v>164</v>
      </c>
      <c r="F20" s="10" t="s">
        <v>165</v>
      </c>
      <c r="G20" s="10" t="s">
        <v>166</v>
      </c>
      <c r="H20" s="10" t="s">
        <v>167</v>
      </c>
      <c r="I20" s="10" t="s">
        <v>168</v>
      </c>
      <c r="J20" s="10"/>
      <c r="K20" s="10" t="s">
        <v>169</v>
      </c>
    </row>
    <row r="21" customFormat="false" ht="23.85" hidden="false" customHeight="false" outlineLevel="0" collapsed="false">
      <c r="A21" s="9" t="s">
        <v>170</v>
      </c>
      <c r="B21" s="9" t="s">
        <v>171</v>
      </c>
      <c r="C21" s="10" t="s">
        <v>172</v>
      </c>
      <c r="D21" s="10" t="s">
        <v>173</v>
      </c>
      <c r="E21" s="10" t="s">
        <v>174</v>
      </c>
      <c r="F21" s="10" t="s">
        <v>175</v>
      </c>
      <c r="G21" s="10" t="s">
        <v>176</v>
      </c>
      <c r="H21" s="10" t="s">
        <v>177</v>
      </c>
      <c r="I21" s="10" t="s">
        <v>178</v>
      </c>
      <c r="J21" s="10"/>
      <c r="K21" s="10" t="s">
        <v>48</v>
      </c>
    </row>
    <row r="22" customFormat="false" ht="35.05" hidden="false" customHeight="false" outlineLevel="0" collapsed="false">
      <c r="A22" s="9" t="s">
        <v>179</v>
      </c>
      <c r="B22" s="9" t="s">
        <v>180</v>
      </c>
      <c r="C22" s="10" t="s">
        <v>181</v>
      </c>
      <c r="D22" s="10" t="s">
        <v>182</v>
      </c>
      <c r="E22" s="10" t="s">
        <v>183</v>
      </c>
      <c r="F22" s="10" t="s">
        <v>184</v>
      </c>
      <c r="G22" s="10" t="s">
        <v>45</v>
      </c>
      <c r="H22" s="10" t="s">
        <v>122</v>
      </c>
      <c r="I22" s="10" t="s">
        <v>185</v>
      </c>
      <c r="J22" s="10" t="s">
        <v>186</v>
      </c>
      <c r="K22" s="10" t="s">
        <v>48</v>
      </c>
    </row>
    <row r="23" customFormat="false" ht="23.85" hidden="false" customHeight="false" outlineLevel="0" collapsed="false">
      <c r="A23" s="9" t="s">
        <v>187</v>
      </c>
      <c r="B23" s="9" t="s">
        <v>188</v>
      </c>
      <c r="C23" s="10" t="s">
        <v>189</v>
      </c>
      <c r="D23" s="10" t="s">
        <v>190</v>
      </c>
      <c r="E23" s="10" t="s">
        <v>191</v>
      </c>
      <c r="F23" s="10" t="s">
        <v>192</v>
      </c>
      <c r="G23" s="10" t="s">
        <v>45</v>
      </c>
      <c r="H23" s="10" t="s">
        <v>46</v>
      </c>
      <c r="I23" s="10" t="s">
        <v>193</v>
      </c>
      <c r="J23" s="10" t="s">
        <v>194</v>
      </c>
      <c r="K23" s="10" t="s">
        <v>48</v>
      </c>
    </row>
    <row r="24" customFormat="false" ht="23.85" hidden="false" customHeight="false" outlineLevel="0" collapsed="false">
      <c r="A24" s="9" t="s">
        <v>195</v>
      </c>
      <c r="B24" s="9" t="s">
        <v>196</v>
      </c>
      <c r="C24" s="10" t="s">
        <v>197</v>
      </c>
      <c r="D24" s="10" t="s">
        <v>198</v>
      </c>
      <c r="E24" s="10" t="s">
        <v>199</v>
      </c>
      <c r="F24" s="10" t="s">
        <v>200</v>
      </c>
      <c r="G24" s="10" t="s">
        <v>201</v>
      </c>
      <c r="H24" s="10" t="s">
        <v>122</v>
      </c>
      <c r="I24" s="10" t="s">
        <v>202</v>
      </c>
      <c r="J24" s="10" t="s">
        <v>203</v>
      </c>
      <c r="K24" s="10" t="s">
        <v>48</v>
      </c>
    </row>
    <row r="25" customFormat="false" ht="23.85" hidden="false" customHeight="false" outlineLevel="0" collapsed="false">
      <c r="A25" s="9" t="s">
        <v>204</v>
      </c>
      <c r="B25" s="9" t="s">
        <v>205</v>
      </c>
      <c r="C25" s="10" t="s">
        <v>206</v>
      </c>
      <c r="D25" s="10" t="s">
        <v>207</v>
      </c>
      <c r="E25" s="10" t="s">
        <v>208</v>
      </c>
      <c r="F25" s="10" t="s">
        <v>209</v>
      </c>
      <c r="G25" s="10" t="s">
        <v>45</v>
      </c>
      <c r="H25" s="10" t="s">
        <v>210</v>
      </c>
      <c r="I25" s="10" t="s">
        <v>193</v>
      </c>
      <c r="J25" s="10"/>
      <c r="K25" s="10" t="s">
        <v>48</v>
      </c>
    </row>
    <row r="26" customFormat="false" ht="35.05" hidden="false" customHeight="false" outlineLevel="0" collapsed="false">
      <c r="A26" s="9" t="s">
        <v>211</v>
      </c>
      <c r="B26" s="9" t="s">
        <v>212</v>
      </c>
      <c r="C26" s="10" t="s">
        <v>213</v>
      </c>
      <c r="D26" s="10" t="s">
        <v>214</v>
      </c>
      <c r="E26" s="10" t="s">
        <v>215</v>
      </c>
      <c r="F26" s="10" t="s">
        <v>216</v>
      </c>
      <c r="G26" s="10" t="s">
        <v>45</v>
      </c>
      <c r="H26" s="10" t="s">
        <v>122</v>
      </c>
      <c r="I26" s="10" t="s">
        <v>217</v>
      </c>
      <c r="J26" s="10"/>
      <c r="K26" s="10" t="s">
        <v>48</v>
      </c>
    </row>
    <row r="27" customFormat="false" ht="35.05" hidden="false" customHeight="false" outlineLevel="0" collapsed="false">
      <c r="A27" s="9" t="s">
        <v>218</v>
      </c>
      <c r="B27" s="9" t="s">
        <v>219</v>
      </c>
      <c r="C27" s="10" t="s">
        <v>220</v>
      </c>
      <c r="D27" s="10" t="s">
        <v>221</v>
      </c>
      <c r="E27" s="10" t="s">
        <v>222</v>
      </c>
      <c r="F27" s="10" t="s">
        <v>223</v>
      </c>
      <c r="G27" s="10" t="s">
        <v>224</v>
      </c>
      <c r="H27" s="10" t="s">
        <v>225</v>
      </c>
      <c r="I27" s="10" t="s">
        <v>226</v>
      </c>
      <c r="J27" s="10" t="s">
        <v>227</v>
      </c>
      <c r="K27" s="10" t="s">
        <v>169</v>
      </c>
    </row>
    <row r="28" customFormat="false" ht="35.05" hidden="false" customHeight="false" outlineLevel="0" collapsed="false">
      <c r="A28" s="9" t="s">
        <v>228</v>
      </c>
      <c r="B28" s="9" t="s">
        <v>229</v>
      </c>
      <c r="C28" s="10" t="s">
        <v>230</v>
      </c>
      <c r="D28" s="10" t="s">
        <v>231</v>
      </c>
      <c r="E28" s="10" t="s">
        <v>232</v>
      </c>
      <c r="F28" s="10" t="s">
        <v>233</v>
      </c>
      <c r="G28" s="10" t="s">
        <v>234</v>
      </c>
      <c r="H28" s="10" t="s">
        <v>235</v>
      </c>
      <c r="I28" s="10" t="s">
        <v>236</v>
      </c>
      <c r="J28" s="10"/>
      <c r="K28" s="10" t="s">
        <v>169</v>
      </c>
    </row>
    <row r="29" customFormat="false" ht="23.85" hidden="false" customHeight="false" outlineLevel="0" collapsed="false">
      <c r="A29" s="9" t="s">
        <v>237</v>
      </c>
      <c r="B29" s="9" t="s">
        <v>238</v>
      </c>
      <c r="C29" s="10" t="s">
        <v>239</v>
      </c>
      <c r="D29" s="10" t="s">
        <v>240</v>
      </c>
      <c r="E29" s="10" t="s">
        <v>241</v>
      </c>
      <c r="F29" s="10" t="s">
        <v>242</v>
      </c>
      <c r="G29" s="10" t="s">
        <v>243</v>
      </c>
      <c r="H29" s="10" t="s">
        <v>244</v>
      </c>
      <c r="I29" s="10" t="s">
        <v>245</v>
      </c>
      <c r="J29" s="10"/>
      <c r="K29" s="10" t="s">
        <v>86</v>
      </c>
    </row>
    <row r="30" customFormat="false" ht="23.85" hidden="false" customHeight="false" outlineLevel="0" collapsed="false">
      <c r="A30" s="9" t="s">
        <v>246</v>
      </c>
      <c r="B30" s="9" t="s">
        <v>247</v>
      </c>
      <c r="C30" s="10" t="s">
        <v>248</v>
      </c>
      <c r="D30" s="10" t="s">
        <v>249</v>
      </c>
      <c r="E30" s="10" t="s">
        <v>250</v>
      </c>
      <c r="F30" s="10" t="s">
        <v>251</v>
      </c>
      <c r="G30" s="10" t="s">
        <v>45</v>
      </c>
      <c r="H30" s="10" t="s">
        <v>46</v>
      </c>
      <c r="I30" s="10" t="s">
        <v>252</v>
      </c>
      <c r="J30" s="10"/>
      <c r="K30" s="10" t="s">
        <v>48</v>
      </c>
    </row>
    <row r="31" customFormat="false" ht="23.85" hidden="false" customHeight="false" outlineLevel="0" collapsed="false">
      <c r="A31" s="9" t="s">
        <v>253</v>
      </c>
      <c r="B31" s="9" t="s">
        <v>254</v>
      </c>
      <c r="C31" s="10" t="s">
        <v>255</v>
      </c>
      <c r="D31" s="10" t="s">
        <v>256</v>
      </c>
      <c r="E31" s="10" t="s">
        <v>257</v>
      </c>
      <c r="F31" s="10" t="s">
        <v>258</v>
      </c>
      <c r="G31" s="10" t="s">
        <v>259</v>
      </c>
      <c r="H31" s="10" t="s">
        <v>260</v>
      </c>
      <c r="I31" s="10" t="s">
        <v>261</v>
      </c>
      <c r="J31" s="10"/>
      <c r="K31" s="10" t="s">
        <v>48</v>
      </c>
    </row>
    <row r="32" customFormat="false" ht="35.05" hidden="false" customHeight="false" outlineLevel="0" collapsed="false">
      <c r="A32" s="9" t="s">
        <v>262</v>
      </c>
      <c r="B32" s="9" t="s">
        <v>263</v>
      </c>
      <c r="C32" s="10" t="s">
        <v>264</v>
      </c>
      <c r="D32" s="10" t="s">
        <v>265</v>
      </c>
      <c r="E32" s="10" t="s">
        <v>266</v>
      </c>
      <c r="F32" s="10" t="s">
        <v>267</v>
      </c>
      <c r="G32" s="10" t="s">
        <v>268</v>
      </c>
      <c r="H32" s="10" t="s">
        <v>269</v>
      </c>
      <c r="I32" s="10" t="s">
        <v>270</v>
      </c>
      <c r="J32" s="10" t="s">
        <v>271</v>
      </c>
      <c r="K32" s="1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56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9" min="8" style="0" width="16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6" t="s">
        <v>272</v>
      </c>
    </row>
    <row r="2" customFormat="false" ht="15" hidden="false" customHeight="false" outlineLevel="0" collapsed="false">
      <c r="B2" s="11" t="s">
        <v>273</v>
      </c>
      <c r="C2" s="12" t="s">
        <v>274</v>
      </c>
      <c r="D2" s="11" t="s">
        <v>275</v>
      </c>
      <c r="E2" s="12"/>
    </row>
    <row r="3" customFormat="false" ht="15" hidden="false" customHeight="false" outlineLevel="0" collapsed="false">
      <c r="B3" s="11" t="s">
        <v>276</v>
      </c>
      <c r="C3" s="12" t="s">
        <v>277</v>
      </c>
      <c r="D3" s="11" t="s">
        <v>278</v>
      </c>
      <c r="E3" s="12"/>
    </row>
    <row r="5" customFormat="false" ht="15" hidden="false" customHeight="false" outlineLevel="0" collapsed="false">
      <c r="A5" s="8" t="s">
        <v>279</v>
      </c>
      <c r="B5" s="8" t="s">
        <v>280</v>
      </c>
      <c r="C5" s="8" t="s">
        <v>281</v>
      </c>
      <c r="D5" s="8" t="s">
        <v>13</v>
      </c>
      <c r="E5" s="8" t="s">
        <v>282</v>
      </c>
      <c r="F5" s="8" t="s">
        <v>283</v>
      </c>
      <c r="G5" s="8" t="s">
        <v>284</v>
      </c>
      <c r="H5" s="8" t="s">
        <v>285</v>
      </c>
      <c r="I5" s="8" t="s">
        <v>19</v>
      </c>
      <c r="J5" s="8" t="s">
        <v>286</v>
      </c>
    </row>
    <row r="6" customFormat="false" ht="35.05" hidden="false" customHeight="false" outlineLevel="0" collapsed="false">
      <c r="A6" s="13" t="s">
        <v>287</v>
      </c>
      <c r="B6" s="13" t="s">
        <v>288</v>
      </c>
      <c r="C6" s="13" t="s">
        <v>289</v>
      </c>
      <c r="D6" s="13" t="s">
        <v>290</v>
      </c>
      <c r="E6" s="13" t="s">
        <v>87</v>
      </c>
      <c r="F6" s="13" t="s">
        <v>291</v>
      </c>
      <c r="G6" s="13" t="s">
        <v>292</v>
      </c>
      <c r="H6" s="13" t="s">
        <v>293</v>
      </c>
      <c r="I6" s="13" t="s">
        <v>294</v>
      </c>
      <c r="J6" s="13" t="s">
        <v>295</v>
      </c>
    </row>
    <row r="7" customFormat="false" ht="23.85" hidden="false" customHeight="false" outlineLevel="0" collapsed="false">
      <c r="A7" s="9" t="s">
        <v>296</v>
      </c>
      <c r="B7" s="9" t="s">
        <v>297</v>
      </c>
      <c r="C7" s="10" t="s">
        <v>298</v>
      </c>
      <c r="D7" s="10" t="s">
        <v>299</v>
      </c>
      <c r="E7" s="10" t="s">
        <v>253</v>
      </c>
      <c r="F7" s="10" t="s">
        <v>300</v>
      </c>
      <c r="G7" s="14"/>
      <c r="H7" s="14" t="s">
        <v>301</v>
      </c>
      <c r="I7" s="14"/>
      <c r="J7" s="14"/>
    </row>
    <row r="8" customFormat="false" ht="23.85" hidden="false" customHeight="false" outlineLevel="0" collapsed="false">
      <c r="A8" s="9" t="s">
        <v>302</v>
      </c>
      <c r="B8" s="9" t="s">
        <v>297</v>
      </c>
      <c r="C8" s="10" t="s">
        <v>303</v>
      </c>
      <c r="D8" s="10" t="s">
        <v>299</v>
      </c>
      <c r="E8" s="10" t="s">
        <v>124</v>
      </c>
      <c r="F8" s="10" t="s">
        <v>304</v>
      </c>
      <c r="G8" s="14"/>
      <c r="H8" s="14" t="s">
        <v>301</v>
      </c>
      <c r="I8" s="14"/>
      <c r="J8" s="14"/>
    </row>
    <row r="9" customFormat="false" ht="23.85" hidden="false" customHeight="false" outlineLevel="0" collapsed="false">
      <c r="A9" s="9" t="s">
        <v>305</v>
      </c>
      <c r="B9" s="9" t="s">
        <v>297</v>
      </c>
      <c r="C9" s="10" t="s">
        <v>306</v>
      </c>
      <c r="D9" s="10" t="s">
        <v>299</v>
      </c>
      <c r="E9" s="10" t="s">
        <v>253</v>
      </c>
      <c r="F9" s="10" t="s">
        <v>307</v>
      </c>
      <c r="G9" s="14"/>
      <c r="H9" s="14" t="s">
        <v>301</v>
      </c>
      <c r="I9" s="14"/>
      <c r="J9" s="14"/>
    </row>
    <row r="10" customFormat="false" ht="23.85" hidden="false" customHeight="false" outlineLevel="0" collapsed="false">
      <c r="A10" s="9" t="s">
        <v>308</v>
      </c>
      <c r="B10" s="9" t="s">
        <v>288</v>
      </c>
      <c r="C10" s="10" t="s">
        <v>309</v>
      </c>
      <c r="D10" s="10" t="s">
        <v>310</v>
      </c>
      <c r="E10" s="10" t="s">
        <v>87</v>
      </c>
      <c r="F10" s="10" t="s">
        <v>311</v>
      </c>
      <c r="G10" s="14"/>
      <c r="H10" s="14" t="s">
        <v>301</v>
      </c>
      <c r="I10" s="14"/>
      <c r="J10" s="14"/>
    </row>
    <row r="11" customFormat="false" ht="23.85" hidden="false" customHeight="false" outlineLevel="0" collapsed="false">
      <c r="A11" s="9" t="s">
        <v>312</v>
      </c>
      <c r="B11" s="9" t="s">
        <v>288</v>
      </c>
      <c r="C11" s="10" t="s">
        <v>313</v>
      </c>
      <c r="D11" s="10" t="s">
        <v>310</v>
      </c>
      <c r="E11" s="10" t="s">
        <v>87</v>
      </c>
      <c r="F11" s="10" t="s">
        <v>314</v>
      </c>
      <c r="G11" s="14"/>
      <c r="H11" s="14" t="s">
        <v>301</v>
      </c>
      <c r="I11" s="14"/>
      <c r="J11" s="14"/>
    </row>
    <row r="12" customFormat="false" ht="23.85" hidden="false" customHeight="false" outlineLevel="0" collapsed="false">
      <c r="A12" s="9" t="s">
        <v>315</v>
      </c>
      <c r="B12" s="9" t="s">
        <v>288</v>
      </c>
      <c r="C12" s="10" t="s">
        <v>316</v>
      </c>
      <c r="D12" s="10" t="s">
        <v>310</v>
      </c>
      <c r="E12" s="10" t="s">
        <v>87</v>
      </c>
      <c r="F12" s="10" t="s">
        <v>317</v>
      </c>
      <c r="G12" s="14"/>
      <c r="H12" s="14" t="s">
        <v>301</v>
      </c>
      <c r="I12" s="14"/>
      <c r="J12" s="14"/>
    </row>
    <row r="13" customFormat="false" ht="23.85" hidden="false" customHeight="false" outlineLevel="0" collapsed="false">
      <c r="A13" s="9" t="s">
        <v>318</v>
      </c>
      <c r="B13" s="9" t="s">
        <v>288</v>
      </c>
      <c r="C13" s="10" t="s">
        <v>319</v>
      </c>
      <c r="D13" s="10" t="s">
        <v>310</v>
      </c>
      <c r="E13" s="10" t="s">
        <v>87</v>
      </c>
      <c r="F13" s="10" t="s">
        <v>320</v>
      </c>
      <c r="G13" s="14"/>
      <c r="H13" s="14" t="s">
        <v>301</v>
      </c>
      <c r="I13" s="14"/>
      <c r="J13" s="14"/>
    </row>
    <row r="14" customFormat="false" ht="23.85" hidden="false" customHeight="false" outlineLevel="0" collapsed="false">
      <c r="A14" s="9" t="s">
        <v>321</v>
      </c>
      <c r="B14" s="9" t="s">
        <v>322</v>
      </c>
      <c r="C14" s="10" t="s">
        <v>323</v>
      </c>
      <c r="D14" s="10" t="s">
        <v>324</v>
      </c>
      <c r="E14" s="10" t="s">
        <v>94</v>
      </c>
      <c r="F14" s="10" t="s">
        <v>325</v>
      </c>
      <c r="G14" s="14"/>
      <c r="H14" s="14" t="s">
        <v>301</v>
      </c>
      <c r="I14" s="14"/>
      <c r="J14" s="14"/>
    </row>
    <row r="15" customFormat="false" ht="23.85" hidden="false" customHeight="false" outlineLevel="0" collapsed="false">
      <c r="A15" s="9" t="s">
        <v>326</v>
      </c>
      <c r="B15" s="9" t="s">
        <v>322</v>
      </c>
      <c r="C15" s="10" t="s">
        <v>327</v>
      </c>
      <c r="D15" s="10" t="s">
        <v>324</v>
      </c>
      <c r="E15" s="10" t="s">
        <v>94</v>
      </c>
      <c r="F15" s="10" t="s">
        <v>328</v>
      </c>
      <c r="G15" s="14"/>
      <c r="H15" s="14" t="s">
        <v>301</v>
      </c>
      <c r="I15" s="14"/>
      <c r="J15" s="14"/>
    </row>
    <row r="16" customFormat="false" ht="23.85" hidden="false" customHeight="false" outlineLevel="0" collapsed="false">
      <c r="A16" s="9" t="s">
        <v>329</v>
      </c>
      <c r="B16" s="9" t="s">
        <v>322</v>
      </c>
      <c r="C16" s="10" t="s">
        <v>330</v>
      </c>
      <c r="D16" s="10" t="s">
        <v>331</v>
      </c>
      <c r="E16" s="10" t="s">
        <v>94</v>
      </c>
      <c r="F16" s="10" t="s">
        <v>332</v>
      </c>
      <c r="G16" s="14"/>
      <c r="H16" s="14" t="s">
        <v>301</v>
      </c>
      <c r="I16" s="14"/>
      <c r="J16" s="14"/>
    </row>
    <row r="17" customFormat="false" ht="23.85" hidden="false" customHeight="false" outlineLevel="0" collapsed="false">
      <c r="A17" s="9" t="s">
        <v>333</v>
      </c>
      <c r="B17" s="9" t="s">
        <v>322</v>
      </c>
      <c r="C17" s="10" t="s">
        <v>334</v>
      </c>
      <c r="D17" s="10" t="s">
        <v>290</v>
      </c>
      <c r="E17" s="10" t="s">
        <v>94</v>
      </c>
      <c r="F17" s="10" t="s">
        <v>335</v>
      </c>
      <c r="G17" s="14"/>
      <c r="H17" s="14" t="s">
        <v>301</v>
      </c>
      <c r="I17" s="14"/>
      <c r="J17" s="14"/>
    </row>
    <row r="18" customFormat="false" ht="23.85" hidden="false" customHeight="false" outlineLevel="0" collapsed="false">
      <c r="A18" s="9" t="s">
        <v>336</v>
      </c>
      <c r="B18" s="9" t="s">
        <v>322</v>
      </c>
      <c r="C18" s="10" t="s">
        <v>337</v>
      </c>
      <c r="D18" s="10" t="s">
        <v>290</v>
      </c>
      <c r="E18" s="10" t="s">
        <v>94</v>
      </c>
      <c r="F18" s="10" t="s">
        <v>338</v>
      </c>
      <c r="G18" s="14"/>
      <c r="H18" s="14" t="s">
        <v>301</v>
      </c>
      <c r="I18" s="14"/>
      <c r="J18" s="14"/>
    </row>
    <row r="19" customFormat="false" ht="23.85" hidden="false" customHeight="false" outlineLevel="0" collapsed="false">
      <c r="A19" s="9" t="s">
        <v>339</v>
      </c>
      <c r="B19" s="9" t="s">
        <v>340</v>
      </c>
      <c r="C19" s="10" t="s">
        <v>341</v>
      </c>
      <c r="D19" s="10" t="s">
        <v>342</v>
      </c>
      <c r="E19" s="10" t="s">
        <v>101</v>
      </c>
      <c r="F19" s="10" t="s">
        <v>343</v>
      </c>
      <c r="G19" s="14"/>
      <c r="H19" s="14" t="s">
        <v>301</v>
      </c>
      <c r="I19" s="14"/>
      <c r="J19" s="14"/>
    </row>
    <row r="20" customFormat="false" ht="23.85" hidden="false" customHeight="false" outlineLevel="0" collapsed="false">
      <c r="A20" s="9" t="s">
        <v>344</v>
      </c>
      <c r="B20" s="9" t="s">
        <v>340</v>
      </c>
      <c r="C20" s="10" t="s">
        <v>345</v>
      </c>
      <c r="D20" s="10" t="s">
        <v>346</v>
      </c>
      <c r="E20" s="10" t="s">
        <v>101</v>
      </c>
      <c r="F20" s="10" t="s">
        <v>347</v>
      </c>
      <c r="G20" s="14"/>
      <c r="H20" s="14" t="s">
        <v>301</v>
      </c>
      <c r="I20" s="14"/>
      <c r="J20" s="14"/>
    </row>
    <row r="21" customFormat="false" ht="23.85" hidden="false" customHeight="false" outlineLevel="0" collapsed="false">
      <c r="A21" s="9" t="s">
        <v>348</v>
      </c>
      <c r="B21" s="9" t="s">
        <v>340</v>
      </c>
      <c r="C21" s="10" t="s">
        <v>349</v>
      </c>
      <c r="D21" s="10" t="s">
        <v>350</v>
      </c>
      <c r="E21" s="10" t="s">
        <v>179</v>
      </c>
      <c r="F21" s="10" t="s">
        <v>351</v>
      </c>
      <c r="G21" s="14"/>
      <c r="H21" s="14" t="s">
        <v>301</v>
      </c>
      <c r="I21" s="14"/>
      <c r="J21" s="14"/>
    </row>
    <row r="22" customFormat="false" ht="35.05" hidden="false" customHeight="false" outlineLevel="0" collapsed="false">
      <c r="A22" s="9" t="s">
        <v>352</v>
      </c>
      <c r="B22" s="9" t="s">
        <v>340</v>
      </c>
      <c r="C22" s="10" t="s">
        <v>353</v>
      </c>
      <c r="D22" s="10" t="s">
        <v>346</v>
      </c>
      <c r="E22" s="10" t="s">
        <v>101</v>
      </c>
      <c r="F22" s="10" t="s">
        <v>347</v>
      </c>
      <c r="G22" s="14"/>
      <c r="H22" s="14" t="s">
        <v>301</v>
      </c>
      <c r="I22" s="14"/>
      <c r="J22" s="14"/>
    </row>
    <row r="23" customFormat="false" ht="23.85" hidden="false" customHeight="false" outlineLevel="0" collapsed="false">
      <c r="A23" s="9" t="s">
        <v>114</v>
      </c>
      <c r="B23" s="9" t="s">
        <v>340</v>
      </c>
      <c r="C23" s="10" t="s">
        <v>354</v>
      </c>
      <c r="D23" s="10" t="s">
        <v>346</v>
      </c>
      <c r="E23" s="10" t="s">
        <v>109</v>
      </c>
      <c r="F23" s="10" t="s">
        <v>355</v>
      </c>
      <c r="G23" s="14"/>
      <c r="H23" s="14" t="s">
        <v>301</v>
      </c>
      <c r="I23" s="14"/>
      <c r="J23" s="14"/>
    </row>
    <row r="24" customFormat="false" ht="23.85" hidden="false" customHeight="false" outlineLevel="0" collapsed="false">
      <c r="A24" s="9" t="s">
        <v>356</v>
      </c>
      <c r="B24" s="9" t="s">
        <v>357</v>
      </c>
      <c r="C24" s="10" t="s">
        <v>358</v>
      </c>
      <c r="D24" s="10" t="s">
        <v>359</v>
      </c>
      <c r="E24" s="10" t="s">
        <v>360</v>
      </c>
      <c r="F24" s="10" t="s">
        <v>361</v>
      </c>
      <c r="G24" s="14"/>
      <c r="H24" s="14" t="s">
        <v>301</v>
      </c>
      <c r="I24" s="14"/>
      <c r="J24" s="14"/>
    </row>
    <row r="25" customFormat="false" ht="23.85" hidden="false" customHeight="false" outlineLevel="0" collapsed="false">
      <c r="A25" s="9" t="s">
        <v>362</v>
      </c>
      <c r="B25" s="9" t="s">
        <v>357</v>
      </c>
      <c r="C25" s="10" t="s">
        <v>363</v>
      </c>
      <c r="D25" s="10" t="s">
        <v>359</v>
      </c>
      <c r="E25" s="10" t="s">
        <v>253</v>
      </c>
      <c r="F25" s="10" t="s">
        <v>364</v>
      </c>
      <c r="G25" s="14"/>
      <c r="H25" s="14" t="s">
        <v>301</v>
      </c>
      <c r="I25" s="14"/>
      <c r="J25" s="14"/>
    </row>
    <row r="26" customFormat="false" ht="23.85" hidden="false" customHeight="false" outlineLevel="0" collapsed="false">
      <c r="A26" s="9" t="s">
        <v>365</v>
      </c>
      <c r="B26" s="9" t="s">
        <v>357</v>
      </c>
      <c r="C26" s="10" t="s">
        <v>366</v>
      </c>
      <c r="D26" s="10" t="s">
        <v>367</v>
      </c>
      <c r="E26" s="10" t="s">
        <v>56</v>
      </c>
      <c r="F26" s="10" t="s">
        <v>368</v>
      </c>
      <c r="G26" s="14"/>
      <c r="H26" s="14" t="s">
        <v>301</v>
      </c>
      <c r="I26" s="14"/>
      <c r="J26" s="14"/>
    </row>
    <row r="27" customFormat="false" ht="23.85" hidden="false" customHeight="false" outlineLevel="0" collapsed="false">
      <c r="A27" s="9" t="s">
        <v>369</v>
      </c>
      <c r="B27" s="9" t="s">
        <v>357</v>
      </c>
      <c r="C27" s="10" t="s">
        <v>370</v>
      </c>
      <c r="D27" s="10" t="s">
        <v>331</v>
      </c>
      <c r="E27" s="10" t="s">
        <v>151</v>
      </c>
      <c r="F27" s="10" t="s">
        <v>371</v>
      </c>
      <c r="G27" s="14"/>
      <c r="H27" s="14" t="s">
        <v>301</v>
      </c>
      <c r="I27" s="14"/>
      <c r="J27" s="14"/>
    </row>
    <row r="28" customFormat="false" ht="15" hidden="false" customHeight="false" outlineLevel="0" collapsed="false">
      <c r="A28" s="9" t="s">
        <v>372</v>
      </c>
      <c r="B28" s="9" t="s">
        <v>373</v>
      </c>
      <c r="C28" s="10" t="s">
        <v>374</v>
      </c>
      <c r="D28" s="10" t="s">
        <v>375</v>
      </c>
      <c r="E28" s="10" t="s">
        <v>211</v>
      </c>
      <c r="F28" s="10" t="s">
        <v>376</v>
      </c>
      <c r="G28" s="14"/>
      <c r="H28" s="14" t="s">
        <v>301</v>
      </c>
      <c r="I28" s="14"/>
      <c r="J28" s="14"/>
    </row>
    <row r="29" customFormat="false" ht="23.85" hidden="false" customHeight="false" outlineLevel="0" collapsed="false">
      <c r="A29" s="9" t="s">
        <v>377</v>
      </c>
      <c r="B29" s="9" t="s">
        <v>373</v>
      </c>
      <c r="C29" s="10" t="s">
        <v>378</v>
      </c>
      <c r="D29" s="10" t="s">
        <v>215</v>
      </c>
      <c r="E29" s="10" t="s">
        <v>211</v>
      </c>
      <c r="F29" s="10" t="s">
        <v>379</v>
      </c>
      <c r="G29" s="14"/>
      <c r="H29" s="14" t="s">
        <v>301</v>
      </c>
      <c r="I29" s="14"/>
      <c r="J29" s="14"/>
    </row>
    <row r="30" customFormat="false" ht="23.85" hidden="false" customHeight="false" outlineLevel="0" collapsed="false">
      <c r="A30" s="9" t="s">
        <v>380</v>
      </c>
      <c r="B30" s="9" t="s">
        <v>373</v>
      </c>
      <c r="C30" s="10" t="s">
        <v>381</v>
      </c>
      <c r="D30" s="10" t="s">
        <v>380</v>
      </c>
      <c r="E30" s="10" t="s">
        <v>211</v>
      </c>
      <c r="F30" s="10" t="s">
        <v>382</v>
      </c>
      <c r="G30" s="14"/>
      <c r="H30" s="14" t="s">
        <v>301</v>
      </c>
      <c r="I30" s="14"/>
      <c r="J30" s="14"/>
    </row>
    <row r="31" customFormat="false" ht="35.05" hidden="false" customHeight="false" outlineLevel="0" collapsed="false">
      <c r="A31" s="9" t="s">
        <v>383</v>
      </c>
      <c r="B31" s="9" t="s">
        <v>373</v>
      </c>
      <c r="C31" s="10" t="s">
        <v>384</v>
      </c>
      <c r="D31" s="10" t="s">
        <v>385</v>
      </c>
      <c r="E31" s="10" t="s">
        <v>204</v>
      </c>
      <c r="F31" s="10" t="s">
        <v>386</v>
      </c>
      <c r="G31" s="14"/>
      <c r="H31" s="14" t="s">
        <v>301</v>
      </c>
      <c r="I31" s="14"/>
      <c r="J31" s="14"/>
    </row>
    <row r="32" customFormat="false" ht="23.85" hidden="false" customHeight="false" outlineLevel="0" collapsed="false">
      <c r="A32" s="9" t="s">
        <v>387</v>
      </c>
      <c r="B32" s="9" t="s">
        <v>388</v>
      </c>
      <c r="C32" s="10" t="s">
        <v>389</v>
      </c>
      <c r="D32" s="10" t="s">
        <v>390</v>
      </c>
      <c r="E32" s="10" t="s">
        <v>116</v>
      </c>
      <c r="F32" s="10" t="s">
        <v>391</v>
      </c>
      <c r="G32" s="14"/>
      <c r="H32" s="14" t="s">
        <v>301</v>
      </c>
      <c r="I32" s="14"/>
      <c r="J32" s="14"/>
    </row>
    <row r="33" customFormat="false" ht="23.85" hidden="false" customHeight="false" outlineLevel="0" collapsed="false">
      <c r="A33" s="9" t="s">
        <v>392</v>
      </c>
      <c r="B33" s="9" t="s">
        <v>388</v>
      </c>
      <c r="C33" s="10" t="s">
        <v>393</v>
      </c>
      <c r="D33" s="10" t="s">
        <v>394</v>
      </c>
      <c r="E33" s="10" t="s">
        <v>116</v>
      </c>
      <c r="F33" s="10" t="s">
        <v>395</v>
      </c>
      <c r="G33" s="14"/>
      <c r="H33" s="14" t="s">
        <v>301</v>
      </c>
      <c r="I33" s="14"/>
      <c r="J33" s="14"/>
    </row>
    <row r="34" customFormat="false" ht="23.85" hidden="false" customHeight="false" outlineLevel="0" collapsed="false">
      <c r="A34" s="9" t="s">
        <v>396</v>
      </c>
      <c r="B34" s="9" t="s">
        <v>388</v>
      </c>
      <c r="C34" s="10" t="s">
        <v>397</v>
      </c>
      <c r="D34" s="10" t="s">
        <v>398</v>
      </c>
      <c r="E34" s="10" t="s">
        <v>116</v>
      </c>
      <c r="F34" s="10" t="s">
        <v>399</v>
      </c>
      <c r="G34" s="14"/>
      <c r="H34" s="14" t="s">
        <v>301</v>
      </c>
      <c r="I34" s="14"/>
      <c r="J34" s="14"/>
    </row>
    <row r="35" customFormat="false" ht="23.85" hidden="false" customHeight="false" outlineLevel="0" collapsed="false">
      <c r="A35" s="9" t="s">
        <v>400</v>
      </c>
      <c r="B35" s="9" t="s">
        <v>388</v>
      </c>
      <c r="C35" s="10" t="s">
        <v>401</v>
      </c>
      <c r="D35" s="10" t="s">
        <v>394</v>
      </c>
      <c r="E35" s="10" t="s">
        <v>116</v>
      </c>
      <c r="F35" s="10" t="s">
        <v>402</v>
      </c>
      <c r="G35" s="14"/>
      <c r="H35" s="14" t="s">
        <v>301</v>
      </c>
      <c r="I35" s="14"/>
      <c r="J35" s="14"/>
    </row>
    <row r="36" customFormat="false" ht="23.85" hidden="false" customHeight="false" outlineLevel="0" collapsed="false">
      <c r="A36" s="9" t="s">
        <v>403</v>
      </c>
      <c r="B36" s="9" t="s">
        <v>388</v>
      </c>
      <c r="C36" s="10" t="s">
        <v>404</v>
      </c>
      <c r="D36" s="10" t="s">
        <v>394</v>
      </c>
      <c r="E36" s="10" t="s">
        <v>116</v>
      </c>
      <c r="F36" s="10" t="s">
        <v>405</v>
      </c>
      <c r="G36" s="14"/>
      <c r="H36" s="14" t="s">
        <v>301</v>
      </c>
      <c r="I36" s="14"/>
      <c r="J36" s="14"/>
    </row>
    <row r="37" customFormat="false" ht="23.85" hidden="false" customHeight="false" outlineLevel="0" collapsed="false">
      <c r="A37" s="9" t="s">
        <v>406</v>
      </c>
      <c r="B37" s="9" t="s">
        <v>407</v>
      </c>
      <c r="C37" s="10" t="s">
        <v>408</v>
      </c>
      <c r="D37" s="10" t="s">
        <v>409</v>
      </c>
      <c r="E37" s="10" t="s">
        <v>39</v>
      </c>
      <c r="F37" s="10" t="s">
        <v>410</v>
      </c>
      <c r="G37" s="14"/>
      <c r="H37" s="14" t="s">
        <v>301</v>
      </c>
      <c r="I37" s="14"/>
      <c r="J37" s="14"/>
    </row>
    <row r="38" customFormat="false" ht="23.85" hidden="false" customHeight="false" outlineLevel="0" collapsed="false">
      <c r="A38" s="9" t="s">
        <v>411</v>
      </c>
      <c r="B38" s="9" t="s">
        <v>407</v>
      </c>
      <c r="C38" s="10" t="s">
        <v>412</v>
      </c>
      <c r="D38" s="10" t="s">
        <v>409</v>
      </c>
      <c r="E38" s="10" t="s">
        <v>413</v>
      </c>
      <c r="F38" s="10" t="s">
        <v>414</v>
      </c>
      <c r="G38" s="14"/>
      <c r="H38" s="14" t="s">
        <v>301</v>
      </c>
      <c r="I38" s="14"/>
      <c r="J38" s="14"/>
    </row>
    <row r="39" customFormat="false" ht="15" hidden="false" customHeight="false" outlineLevel="0" collapsed="false">
      <c r="A39" s="9" t="s">
        <v>415</v>
      </c>
      <c r="B39" s="9" t="s">
        <v>407</v>
      </c>
      <c r="C39" s="10" t="s">
        <v>416</v>
      </c>
      <c r="D39" s="10" t="s">
        <v>409</v>
      </c>
      <c r="E39" s="10" t="s">
        <v>49</v>
      </c>
      <c r="F39" s="10" t="s">
        <v>417</v>
      </c>
      <c r="G39" s="14"/>
      <c r="H39" s="14" t="s">
        <v>301</v>
      </c>
      <c r="I39" s="14"/>
      <c r="J39" s="14"/>
    </row>
    <row r="40" customFormat="false" ht="23.85" hidden="false" customHeight="false" outlineLevel="0" collapsed="false">
      <c r="A40" s="9" t="s">
        <v>418</v>
      </c>
      <c r="B40" s="9" t="s">
        <v>419</v>
      </c>
      <c r="C40" s="10" t="s">
        <v>420</v>
      </c>
      <c r="D40" s="10" t="s">
        <v>421</v>
      </c>
      <c r="E40" s="10" t="s">
        <v>133</v>
      </c>
      <c r="F40" s="10" t="s">
        <v>422</v>
      </c>
      <c r="G40" s="14"/>
      <c r="H40" s="14" t="s">
        <v>301</v>
      </c>
      <c r="I40" s="14"/>
      <c r="J40" s="14"/>
    </row>
    <row r="41" customFormat="false" ht="23.85" hidden="false" customHeight="false" outlineLevel="0" collapsed="false">
      <c r="A41" s="9" t="s">
        <v>423</v>
      </c>
      <c r="B41" s="9" t="s">
        <v>419</v>
      </c>
      <c r="C41" s="10" t="s">
        <v>424</v>
      </c>
      <c r="D41" s="10" t="s">
        <v>425</v>
      </c>
      <c r="E41" s="10" t="s">
        <v>141</v>
      </c>
      <c r="F41" s="10" t="s">
        <v>426</v>
      </c>
      <c r="G41" s="14"/>
      <c r="H41" s="14" t="s">
        <v>301</v>
      </c>
      <c r="I41" s="14"/>
      <c r="J41" s="14"/>
    </row>
    <row r="42" customFormat="false" ht="23.85" hidden="false" customHeight="false" outlineLevel="0" collapsed="false">
      <c r="A42" s="9" t="s">
        <v>427</v>
      </c>
      <c r="B42" s="9" t="s">
        <v>419</v>
      </c>
      <c r="C42" s="10" t="s">
        <v>428</v>
      </c>
      <c r="D42" s="10" t="s">
        <v>429</v>
      </c>
      <c r="E42" s="10" t="s">
        <v>124</v>
      </c>
      <c r="F42" s="10" t="s">
        <v>430</v>
      </c>
      <c r="G42" s="14"/>
      <c r="H42" s="14" t="s">
        <v>301</v>
      </c>
      <c r="I42" s="14"/>
      <c r="J42" s="14"/>
    </row>
    <row r="43" customFormat="false" ht="23.85" hidden="false" customHeight="false" outlineLevel="0" collapsed="false">
      <c r="A43" s="9" t="s">
        <v>431</v>
      </c>
      <c r="B43" s="9" t="s">
        <v>419</v>
      </c>
      <c r="C43" s="10" t="s">
        <v>432</v>
      </c>
      <c r="D43" s="10" t="s">
        <v>433</v>
      </c>
      <c r="E43" s="10" t="s">
        <v>124</v>
      </c>
      <c r="F43" s="10" t="s">
        <v>434</v>
      </c>
      <c r="G43" s="14"/>
      <c r="H43" s="14" t="s">
        <v>301</v>
      </c>
      <c r="I43" s="14"/>
      <c r="J43" s="14"/>
    </row>
    <row r="44" customFormat="false" ht="15" hidden="false" customHeight="false" outlineLevel="0" collapsed="false">
      <c r="A44" s="9" t="s">
        <v>435</v>
      </c>
      <c r="B44" s="9" t="s">
        <v>419</v>
      </c>
      <c r="C44" s="10" t="s">
        <v>436</v>
      </c>
      <c r="D44" s="10" t="s">
        <v>383</v>
      </c>
      <c r="E44" s="10" t="s">
        <v>124</v>
      </c>
      <c r="F44" s="10" t="s">
        <v>437</v>
      </c>
      <c r="G44" s="14"/>
      <c r="H44" s="14" t="s">
        <v>301</v>
      </c>
      <c r="I44" s="14"/>
      <c r="J44" s="14"/>
    </row>
    <row r="45" customFormat="false" ht="23.85" hidden="false" customHeight="false" outlineLevel="0" collapsed="false">
      <c r="A45" s="9" t="s">
        <v>438</v>
      </c>
      <c r="B45" s="9" t="s">
        <v>419</v>
      </c>
      <c r="C45" s="10" t="s">
        <v>439</v>
      </c>
      <c r="D45" s="10" t="s">
        <v>440</v>
      </c>
      <c r="E45" s="10" t="s">
        <v>151</v>
      </c>
      <c r="F45" s="10" t="s">
        <v>441</v>
      </c>
      <c r="G45" s="14"/>
      <c r="H45" s="14" t="s">
        <v>301</v>
      </c>
      <c r="I45" s="14"/>
      <c r="J45" s="14"/>
    </row>
    <row r="46" customFormat="false" ht="23.85" hidden="false" customHeight="false" outlineLevel="0" collapsed="false">
      <c r="A46" s="9" t="s">
        <v>442</v>
      </c>
      <c r="B46" s="9" t="s">
        <v>419</v>
      </c>
      <c r="C46" s="10" t="s">
        <v>443</v>
      </c>
      <c r="D46" s="10" t="s">
        <v>385</v>
      </c>
      <c r="E46" s="10" t="s">
        <v>444</v>
      </c>
      <c r="F46" s="10" t="s">
        <v>445</v>
      </c>
      <c r="G46" s="14"/>
      <c r="H46" s="14" t="s">
        <v>301</v>
      </c>
      <c r="I46" s="14"/>
      <c r="J46" s="14"/>
    </row>
    <row r="47" customFormat="false" ht="15" hidden="false" customHeight="false" outlineLevel="0" collapsed="false">
      <c r="A47" s="9" t="s">
        <v>251</v>
      </c>
      <c r="B47" s="9" t="s">
        <v>419</v>
      </c>
      <c r="C47" s="10" t="s">
        <v>446</v>
      </c>
      <c r="D47" s="10" t="s">
        <v>383</v>
      </c>
      <c r="E47" s="10" t="s">
        <v>246</v>
      </c>
      <c r="F47" s="10" t="s">
        <v>447</v>
      </c>
      <c r="G47" s="14"/>
      <c r="H47" s="14" t="s">
        <v>301</v>
      </c>
      <c r="I47" s="14"/>
      <c r="J47" s="14"/>
    </row>
    <row r="48" customFormat="false" ht="23.85" hidden="false" customHeight="false" outlineLevel="0" collapsed="false">
      <c r="A48" s="9" t="s">
        <v>448</v>
      </c>
      <c r="B48" s="9" t="s">
        <v>152</v>
      </c>
      <c r="C48" s="10" t="s">
        <v>449</v>
      </c>
      <c r="D48" s="10" t="s">
        <v>299</v>
      </c>
      <c r="E48" s="10" t="s">
        <v>151</v>
      </c>
      <c r="F48" s="10" t="s">
        <v>450</v>
      </c>
      <c r="G48" s="14"/>
      <c r="H48" s="14" t="s">
        <v>301</v>
      </c>
      <c r="I48" s="14"/>
      <c r="J48" s="14"/>
    </row>
    <row r="49" customFormat="false" ht="15" hidden="false" customHeight="false" outlineLevel="0" collapsed="false">
      <c r="A49" s="9" t="s">
        <v>451</v>
      </c>
      <c r="B49" s="9" t="s">
        <v>152</v>
      </c>
      <c r="C49" s="10" t="s">
        <v>452</v>
      </c>
      <c r="D49" s="10" t="s">
        <v>299</v>
      </c>
      <c r="E49" s="10" t="s">
        <v>151</v>
      </c>
      <c r="F49" s="10" t="s">
        <v>453</v>
      </c>
      <c r="G49" s="14"/>
      <c r="H49" s="14" t="s">
        <v>301</v>
      </c>
      <c r="I49" s="14"/>
      <c r="J49" s="14"/>
    </row>
    <row r="50" customFormat="false" ht="15" hidden="false" customHeight="false" outlineLevel="0" collapsed="false">
      <c r="A50" s="9" t="s">
        <v>454</v>
      </c>
      <c r="B50" s="9" t="s">
        <v>152</v>
      </c>
      <c r="C50" s="10" t="s">
        <v>455</v>
      </c>
      <c r="D50" s="10" t="s">
        <v>299</v>
      </c>
      <c r="E50" s="10" t="s">
        <v>151</v>
      </c>
      <c r="F50" s="10" t="s">
        <v>456</v>
      </c>
      <c r="G50" s="14"/>
      <c r="H50" s="14" t="s">
        <v>301</v>
      </c>
      <c r="I50" s="14"/>
      <c r="J50" s="14"/>
    </row>
    <row r="51" customFormat="false" ht="23.85" hidden="false" customHeight="false" outlineLevel="0" collapsed="false">
      <c r="A51" s="9" t="s">
        <v>457</v>
      </c>
      <c r="B51" s="9" t="s">
        <v>458</v>
      </c>
      <c r="C51" s="10" t="s">
        <v>459</v>
      </c>
      <c r="D51" s="10" t="s">
        <v>460</v>
      </c>
      <c r="E51" s="10" t="s">
        <v>160</v>
      </c>
      <c r="F51" s="10" t="s">
        <v>461</v>
      </c>
      <c r="G51" s="14"/>
      <c r="H51" s="14" t="s">
        <v>301</v>
      </c>
      <c r="I51" s="14"/>
      <c r="J51" s="14"/>
    </row>
    <row r="52" customFormat="false" ht="23.85" hidden="false" customHeight="false" outlineLevel="0" collapsed="false">
      <c r="A52" s="9" t="s">
        <v>462</v>
      </c>
      <c r="B52" s="9" t="s">
        <v>458</v>
      </c>
      <c r="C52" s="10" t="s">
        <v>463</v>
      </c>
      <c r="D52" s="10" t="s">
        <v>464</v>
      </c>
      <c r="E52" s="10" t="s">
        <v>160</v>
      </c>
      <c r="F52" s="10" t="s">
        <v>465</v>
      </c>
      <c r="G52" s="14"/>
      <c r="H52" s="14" t="s">
        <v>301</v>
      </c>
      <c r="I52" s="14"/>
      <c r="J52" s="14"/>
    </row>
    <row r="53" customFormat="false" ht="35.05" hidden="false" customHeight="false" outlineLevel="0" collapsed="false">
      <c r="A53" s="9" t="s">
        <v>466</v>
      </c>
      <c r="B53" s="9" t="s">
        <v>458</v>
      </c>
      <c r="C53" s="10" t="s">
        <v>467</v>
      </c>
      <c r="D53" s="10" t="s">
        <v>468</v>
      </c>
      <c r="E53" s="10" t="s">
        <v>160</v>
      </c>
      <c r="F53" s="10" t="s">
        <v>469</v>
      </c>
      <c r="G53" s="14"/>
      <c r="H53" s="14" t="s">
        <v>301</v>
      </c>
      <c r="I53" s="14"/>
      <c r="J53" s="14"/>
    </row>
    <row r="54" customFormat="false" ht="23.85" hidden="false" customHeight="false" outlineLevel="0" collapsed="false">
      <c r="A54" s="9" t="s">
        <v>470</v>
      </c>
      <c r="B54" s="9" t="s">
        <v>458</v>
      </c>
      <c r="C54" s="10" t="s">
        <v>471</v>
      </c>
      <c r="D54" s="10" t="s">
        <v>464</v>
      </c>
      <c r="E54" s="10" t="s">
        <v>160</v>
      </c>
      <c r="F54" s="10" t="s">
        <v>472</v>
      </c>
      <c r="G54" s="14"/>
      <c r="H54" s="14" t="s">
        <v>301</v>
      </c>
      <c r="I54" s="14"/>
      <c r="J54" s="14"/>
    </row>
    <row r="55" customFormat="false" ht="23.85" hidden="false" customHeight="false" outlineLevel="0" collapsed="false">
      <c r="A55" s="9" t="s">
        <v>473</v>
      </c>
      <c r="B55" s="9" t="s">
        <v>458</v>
      </c>
      <c r="C55" s="10" t="s">
        <v>474</v>
      </c>
      <c r="D55" s="10" t="s">
        <v>475</v>
      </c>
      <c r="E55" s="10" t="s">
        <v>160</v>
      </c>
      <c r="F55" s="10" t="s">
        <v>476</v>
      </c>
      <c r="G55" s="14"/>
      <c r="H55" s="14" t="s">
        <v>301</v>
      </c>
      <c r="I55" s="14"/>
      <c r="J55" s="14"/>
    </row>
    <row r="56" customFormat="false" ht="23.85" hidden="false" customHeight="false" outlineLevel="0" collapsed="false">
      <c r="A56" s="9" t="s">
        <v>477</v>
      </c>
      <c r="B56" s="9" t="s">
        <v>478</v>
      </c>
      <c r="C56" s="10" t="s">
        <v>479</v>
      </c>
      <c r="D56" s="10" t="s">
        <v>299</v>
      </c>
      <c r="E56" s="10" t="s">
        <v>218</v>
      </c>
      <c r="F56" s="10" t="s">
        <v>480</v>
      </c>
      <c r="G56" s="14"/>
      <c r="H56" s="14" t="s">
        <v>301</v>
      </c>
      <c r="I56" s="14"/>
      <c r="J56" s="14"/>
    </row>
    <row r="57" customFormat="false" ht="23.85" hidden="false" customHeight="false" outlineLevel="0" collapsed="false">
      <c r="A57" s="9" t="s">
        <v>481</v>
      </c>
      <c r="B57" s="9" t="s">
        <v>478</v>
      </c>
      <c r="C57" s="10" t="s">
        <v>482</v>
      </c>
      <c r="D57" s="10" t="s">
        <v>299</v>
      </c>
      <c r="E57" s="10" t="s">
        <v>218</v>
      </c>
      <c r="F57" s="10" t="s">
        <v>483</v>
      </c>
      <c r="G57" s="14"/>
      <c r="H57" s="14" t="s">
        <v>301</v>
      </c>
      <c r="I57" s="14"/>
      <c r="J57" s="14"/>
    </row>
    <row r="58" customFormat="false" ht="15" hidden="false" customHeight="false" outlineLevel="0" collapsed="false">
      <c r="A58" s="9" t="s">
        <v>484</v>
      </c>
      <c r="B58" s="9" t="s">
        <v>478</v>
      </c>
      <c r="C58" s="10" t="s">
        <v>485</v>
      </c>
      <c r="D58" s="10" t="s">
        <v>299</v>
      </c>
      <c r="E58" s="10" t="s">
        <v>218</v>
      </c>
      <c r="F58" s="10" t="s">
        <v>486</v>
      </c>
      <c r="G58" s="14"/>
      <c r="H58" s="14" t="s">
        <v>301</v>
      </c>
      <c r="I58" s="14"/>
      <c r="J58" s="14"/>
    </row>
    <row r="59" customFormat="false" ht="23.85" hidden="false" customHeight="false" outlineLevel="0" collapsed="false">
      <c r="A59" s="9" t="s">
        <v>487</v>
      </c>
      <c r="B59" s="9" t="s">
        <v>488</v>
      </c>
      <c r="C59" s="10" t="s">
        <v>489</v>
      </c>
      <c r="D59" s="10" t="s">
        <v>421</v>
      </c>
      <c r="E59" s="10" t="s">
        <v>228</v>
      </c>
      <c r="F59" s="10" t="s">
        <v>490</v>
      </c>
      <c r="G59" s="14"/>
      <c r="H59" s="14" t="s">
        <v>301</v>
      </c>
      <c r="I59" s="14"/>
      <c r="J59" s="14"/>
    </row>
    <row r="60" customFormat="false" ht="15" hidden="false" customHeight="false" outlineLevel="0" collapsed="false">
      <c r="A60" s="9" t="s">
        <v>491</v>
      </c>
      <c r="B60" s="9" t="s">
        <v>488</v>
      </c>
      <c r="C60" s="10" t="s">
        <v>492</v>
      </c>
      <c r="D60" s="10" t="s">
        <v>299</v>
      </c>
      <c r="E60" s="10" t="s">
        <v>228</v>
      </c>
      <c r="F60" s="10" t="s">
        <v>493</v>
      </c>
      <c r="G60" s="14"/>
      <c r="H60" s="14" t="s">
        <v>301</v>
      </c>
      <c r="I60" s="14"/>
      <c r="J60" s="14"/>
    </row>
    <row r="61" customFormat="false" ht="23.85" hidden="false" customHeight="false" outlineLevel="0" collapsed="false">
      <c r="A61" s="9" t="s">
        <v>494</v>
      </c>
      <c r="B61" s="9" t="s">
        <v>488</v>
      </c>
      <c r="C61" s="10" t="s">
        <v>495</v>
      </c>
      <c r="D61" s="10" t="s">
        <v>299</v>
      </c>
      <c r="E61" s="10" t="s">
        <v>77</v>
      </c>
      <c r="F61" s="10" t="s">
        <v>496</v>
      </c>
      <c r="G61" s="14"/>
      <c r="H61" s="14" t="s">
        <v>301</v>
      </c>
      <c r="I61" s="14"/>
      <c r="J61" s="14"/>
    </row>
    <row r="62" customFormat="false" ht="23.85" hidden="false" customHeight="false" outlineLevel="0" collapsed="false">
      <c r="A62" s="9" t="s">
        <v>497</v>
      </c>
      <c r="B62" s="9" t="s">
        <v>238</v>
      </c>
      <c r="C62" s="10" t="s">
        <v>498</v>
      </c>
      <c r="D62" s="10" t="s">
        <v>299</v>
      </c>
      <c r="E62" s="10" t="s">
        <v>237</v>
      </c>
      <c r="F62" s="10" t="s">
        <v>499</v>
      </c>
      <c r="G62" s="14"/>
      <c r="H62" s="14" t="s">
        <v>301</v>
      </c>
      <c r="I62" s="14"/>
      <c r="J62" s="14"/>
    </row>
    <row r="63" customFormat="false" ht="23.85" hidden="false" customHeight="false" outlineLevel="0" collapsed="false">
      <c r="A63" s="9" t="s">
        <v>500</v>
      </c>
      <c r="B63" s="9" t="s">
        <v>238</v>
      </c>
      <c r="C63" s="10" t="s">
        <v>501</v>
      </c>
      <c r="D63" s="10" t="s">
        <v>299</v>
      </c>
      <c r="E63" s="10" t="s">
        <v>237</v>
      </c>
      <c r="F63" s="10" t="s">
        <v>502</v>
      </c>
      <c r="G63" s="14"/>
      <c r="H63" s="14" t="s">
        <v>301</v>
      </c>
      <c r="I63" s="14"/>
      <c r="J63" s="14"/>
    </row>
    <row r="64" customFormat="false" ht="23.85" hidden="false" customHeight="false" outlineLevel="0" collapsed="false">
      <c r="A64" s="9" t="s">
        <v>503</v>
      </c>
      <c r="B64" s="9" t="s">
        <v>238</v>
      </c>
      <c r="C64" s="10" t="s">
        <v>504</v>
      </c>
      <c r="D64" s="10" t="s">
        <v>299</v>
      </c>
      <c r="E64" s="10" t="s">
        <v>237</v>
      </c>
      <c r="F64" s="10" t="s">
        <v>502</v>
      </c>
      <c r="G64" s="14"/>
      <c r="H64" s="14" t="s">
        <v>301</v>
      </c>
      <c r="I64" s="14"/>
      <c r="J64" s="14"/>
    </row>
    <row r="65" customFormat="false" ht="23.85" hidden="false" customHeight="false" outlineLevel="0" collapsed="false">
      <c r="A65" s="9" t="s">
        <v>505</v>
      </c>
      <c r="B65" s="9" t="s">
        <v>238</v>
      </c>
      <c r="C65" s="10" t="s">
        <v>506</v>
      </c>
      <c r="D65" s="10" t="s">
        <v>299</v>
      </c>
      <c r="E65" s="10" t="s">
        <v>507</v>
      </c>
      <c r="F65" s="10" t="s">
        <v>508</v>
      </c>
      <c r="G65" s="14"/>
      <c r="H65" s="14" t="s">
        <v>301</v>
      </c>
      <c r="I65" s="14"/>
      <c r="J65" s="14"/>
    </row>
    <row r="66" customFormat="false" ht="23.85" hidden="false" customHeight="false" outlineLevel="0" collapsed="false">
      <c r="A66" s="9" t="s">
        <v>509</v>
      </c>
      <c r="B66" s="9" t="s">
        <v>238</v>
      </c>
      <c r="C66" s="10" t="s">
        <v>510</v>
      </c>
      <c r="D66" s="10" t="s">
        <v>299</v>
      </c>
      <c r="E66" s="10" t="s">
        <v>237</v>
      </c>
      <c r="F66" s="10" t="s">
        <v>511</v>
      </c>
      <c r="G66" s="14"/>
      <c r="H66" s="14" t="s">
        <v>301</v>
      </c>
      <c r="I66" s="14"/>
      <c r="J66" s="14"/>
    </row>
    <row r="67" customFormat="false" ht="23.85" hidden="false" customHeight="false" outlineLevel="0" collapsed="false">
      <c r="A67" s="9" t="s">
        <v>512</v>
      </c>
      <c r="B67" s="9" t="s">
        <v>238</v>
      </c>
      <c r="C67" s="10" t="s">
        <v>513</v>
      </c>
      <c r="D67" s="10" t="s">
        <v>299</v>
      </c>
      <c r="E67" s="10" t="s">
        <v>237</v>
      </c>
      <c r="F67" s="10" t="s">
        <v>502</v>
      </c>
      <c r="G67" s="14"/>
      <c r="H67" s="14" t="s">
        <v>301</v>
      </c>
      <c r="I67" s="14"/>
      <c r="J67" s="14"/>
    </row>
    <row r="68" customFormat="false" ht="23.85" hidden="false" customHeight="false" outlineLevel="0" collapsed="false">
      <c r="A68" s="9" t="s">
        <v>514</v>
      </c>
      <c r="B68" s="9" t="s">
        <v>238</v>
      </c>
      <c r="C68" s="10" t="s">
        <v>515</v>
      </c>
      <c r="D68" s="10" t="s">
        <v>299</v>
      </c>
      <c r="E68" s="10" t="s">
        <v>237</v>
      </c>
      <c r="F68" s="10" t="s">
        <v>502</v>
      </c>
      <c r="G68" s="14"/>
      <c r="H68" s="14" t="s">
        <v>301</v>
      </c>
      <c r="I68" s="14"/>
      <c r="J68" s="14"/>
    </row>
    <row r="69" customFormat="false" ht="35.05" hidden="false" customHeight="false" outlineLevel="0" collapsed="false">
      <c r="A69" s="9" t="s">
        <v>516</v>
      </c>
      <c r="B69" s="9" t="s">
        <v>517</v>
      </c>
      <c r="C69" s="10" t="s">
        <v>518</v>
      </c>
      <c r="D69" s="10" t="s">
        <v>409</v>
      </c>
      <c r="E69" s="10" t="s">
        <v>39</v>
      </c>
      <c r="F69" s="10" t="s">
        <v>519</v>
      </c>
      <c r="G69" s="14"/>
      <c r="H69" s="14" t="s">
        <v>301</v>
      </c>
      <c r="I69" s="14"/>
      <c r="J69" s="14"/>
    </row>
    <row r="70" customFormat="false" ht="23.85" hidden="false" customHeight="false" outlineLevel="0" collapsed="false">
      <c r="A70" s="9" t="s">
        <v>520</v>
      </c>
      <c r="B70" s="9" t="s">
        <v>517</v>
      </c>
      <c r="C70" s="10" t="s">
        <v>521</v>
      </c>
      <c r="D70" s="10" t="s">
        <v>409</v>
      </c>
      <c r="E70" s="10" t="s">
        <v>49</v>
      </c>
      <c r="F70" s="10" t="s">
        <v>522</v>
      </c>
      <c r="G70" s="14"/>
      <c r="H70" s="14" t="s">
        <v>301</v>
      </c>
      <c r="I70" s="14"/>
      <c r="J70" s="14"/>
    </row>
    <row r="71" customFormat="false" ht="23.85" hidden="false" customHeight="false" outlineLevel="0" collapsed="false">
      <c r="A71" s="9" t="s">
        <v>523</v>
      </c>
      <c r="B71" s="9" t="s">
        <v>517</v>
      </c>
      <c r="C71" s="10" t="s">
        <v>524</v>
      </c>
      <c r="D71" s="10" t="s">
        <v>525</v>
      </c>
      <c r="E71" s="10" t="s">
        <v>56</v>
      </c>
      <c r="F71" s="10" t="s">
        <v>526</v>
      </c>
      <c r="G71" s="14"/>
      <c r="H71" s="14" t="s">
        <v>301</v>
      </c>
      <c r="I71" s="14"/>
      <c r="J71" s="14"/>
    </row>
    <row r="72" customFormat="false" ht="23.85" hidden="false" customHeight="false" outlineLevel="0" collapsed="false">
      <c r="A72" s="9" t="s">
        <v>67</v>
      </c>
      <c r="B72" s="9" t="s">
        <v>517</v>
      </c>
      <c r="C72" s="10" t="s">
        <v>527</v>
      </c>
      <c r="D72" s="10" t="s">
        <v>525</v>
      </c>
      <c r="E72" s="10" t="s">
        <v>63</v>
      </c>
      <c r="F72" s="10" t="s">
        <v>528</v>
      </c>
      <c r="G72" s="14"/>
      <c r="H72" s="14" t="s">
        <v>301</v>
      </c>
      <c r="I72" s="14"/>
      <c r="J72" s="14"/>
    </row>
    <row r="73" customFormat="false" ht="23.85" hidden="false" customHeight="false" outlineLevel="0" collapsed="false">
      <c r="A73" s="9" t="s">
        <v>529</v>
      </c>
      <c r="B73" s="9" t="s">
        <v>517</v>
      </c>
      <c r="C73" s="10" t="s">
        <v>530</v>
      </c>
      <c r="D73" s="10" t="s">
        <v>525</v>
      </c>
      <c r="E73" s="10" t="s">
        <v>69</v>
      </c>
      <c r="F73" s="10" t="s">
        <v>531</v>
      </c>
      <c r="G73" s="14"/>
      <c r="H73" s="14" t="s">
        <v>301</v>
      </c>
      <c r="I73" s="14"/>
      <c r="J73" s="14"/>
    </row>
    <row r="74" customFormat="false" ht="23.85" hidden="false" customHeight="false" outlineLevel="0" collapsed="false">
      <c r="A74" s="9" t="s">
        <v>532</v>
      </c>
      <c r="B74" s="9" t="s">
        <v>517</v>
      </c>
      <c r="C74" s="10" t="s">
        <v>533</v>
      </c>
      <c r="D74" s="10" t="s">
        <v>525</v>
      </c>
      <c r="E74" s="10" t="s">
        <v>69</v>
      </c>
      <c r="F74" s="10" t="s">
        <v>534</v>
      </c>
      <c r="G74" s="14"/>
      <c r="H74" s="14" t="s">
        <v>301</v>
      </c>
      <c r="I74" s="14"/>
      <c r="J74" s="14"/>
    </row>
    <row r="75" customFormat="false" ht="23.85" hidden="false" customHeight="false" outlineLevel="0" collapsed="false">
      <c r="A75" s="9" t="s">
        <v>535</v>
      </c>
      <c r="B75" s="9" t="s">
        <v>517</v>
      </c>
      <c r="C75" s="10" t="s">
        <v>536</v>
      </c>
      <c r="D75" s="10" t="s">
        <v>525</v>
      </c>
      <c r="E75" s="10" t="s">
        <v>77</v>
      </c>
      <c r="F75" s="10" t="s">
        <v>537</v>
      </c>
      <c r="G75" s="14"/>
      <c r="H75" s="14" t="s">
        <v>301</v>
      </c>
      <c r="I75" s="14"/>
      <c r="J75" s="14"/>
    </row>
    <row r="76" customFormat="false" ht="23.85" hidden="false" customHeight="false" outlineLevel="0" collapsed="false">
      <c r="A76" s="9" t="s">
        <v>538</v>
      </c>
      <c r="B76" s="9" t="s">
        <v>196</v>
      </c>
      <c r="C76" s="10" t="s">
        <v>539</v>
      </c>
      <c r="D76" s="10" t="s">
        <v>540</v>
      </c>
      <c r="E76" s="10" t="s">
        <v>195</v>
      </c>
      <c r="F76" s="10" t="s">
        <v>541</v>
      </c>
      <c r="G76" s="14"/>
      <c r="H76" s="14" t="s">
        <v>301</v>
      </c>
      <c r="I76" s="14"/>
      <c r="J76" s="14"/>
    </row>
    <row r="77" customFormat="false" ht="23.85" hidden="false" customHeight="false" outlineLevel="0" collapsed="false">
      <c r="A77" s="9" t="s">
        <v>542</v>
      </c>
      <c r="B77" s="9" t="s">
        <v>196</v>
      </c>
      <c r="C77" s="10" t="s">
        <v>543</v>
      </c>
      <c r="D77" s="10" t="s">
        <v>540</v>
      </c>
      <c r="E77" s="10" t="s">
        <v>195</v>
      </c>
      <c r="F77" s="10" t="s">
        <v>544</v>
      </c>
      <c r="G77" s="14"/>
      <c r="H77" s="14" t="s">
        <v>301</v>
      </c>
      <c r="I77" s="14"/>
      <c r="J77" s="14"/>
    </row>
    <row r="78" customFormat="false" ht="23.85" hidden="false" customHeight="false" outlineLevel="0" collapsed="false">
      <c r="A78" s="9" t="s">
        <v>545</v>
      </c>
      <c r="B78" s="9" t="s">
        <v>196</v>
      </c>
      <c r="C78" s="10" t="s">
        <v>546</v>
      </c>
      <c r="D78" s="10" t="s">
        <v>540</v>
      </c>
      <c r="E78" s="10" t="s">
        <v>195</v>
      </c>
      <c r="F78" s="10" t="s">
        <v>547</v>
      </c>
      <c r="G78" s="14"/>
      <c r="H78" s="14" t="s">
        <v>301</v>
      </c>
      <c r="I78" s="14"/>
      <c r="J78" s="14"/>
    </row>
    <row r="79" customFormat="false" ht="23.85" hidden="false" customHeight="false" outlineLevel="0" collapsed="false">
      <c r="A79" s="9" t="s">
        <v>548</v>
      </c>
      <c r="B79" s="9" t="s">
        <v>196</v>
      </c>
      <c r="C79" s="10" t="s">
        <v>549</v>
      </c>
      <c r="D79" s="10" t="s">
        <v>540</v>
      </c>
      <c r="E79" s="10" t="s">
        <v>195</v>
      </c>
      <c r="F79" s="10" t="s">
        <v>550</v>
      </c>
      <c r="G79" s="14"/>
      <c r="H79" s="14" t="s">
        <v>301</v>
      </c>
      <c r="I79" s="14"/>
      <c r="J79" s="14"/>
    </row>
    <row r="80" customFormat="false" ht="23.85" hidden="false" customHeight="false" outlineLevel="0" collapsed="false">
      <c r="A80" s="9" t="s">
        <v>551</v>
      </c>
      <c r="B80" s="9" t="s">
        <v>552</v>
      </c>
      <c r="C80" s="10" t="s">
        <v>553</v>
      </c>
      <c r="D80" s="10" t="s">
        <v>350</v>
      </c>
      <c r="E80" s="10" t="s">
        <v>179</v>
      </c>
      <c r="F80" s="10" t="s">
        <v>351</v>
      </c>
      <c r="G80" s="14"/>
      <c r="H80" s="14" t="s">
        <v>301</v>
      </c>
      <c r="I80" s="14"/>
      <c r="J80" s="14"/>
    </row>
    <row r="81" customFormat="false" ht="23.85" hidden="false" customHeight="false" outlineLevel="0" collapsed="false">
      <c r="A81" s="9" t="s">
        <v>554</v>
      </c>
      <c r="B81" s="9" t="s">
        <v>552</v>
      </c>
      <c r="C81" s="10" t="s">
        <v>555</v>
      </c>
      <c r="D81" s="10" t="s">
        <v>556</v>
      </c>
      <c r="E81" s="10" t="s">
        <v>179</v>
      </c>
      <c r="F81" s="10" t="s">
        <v>557</v>
      </c>
      <c r="G81" s="14"/>
      <c r="H81" s="14" t="s">
        <v>301</v>
      </c>
      <c r="I81" s="14"/>
      <c r="J81" s="14"/>
    </row>
    <row r="82" customFormat="false" ht="23.85" hidden="false" customHeight="false" outlineLevel="0" collapsed="false">
      <c r="A82" s="9" t="s">
        <v>558</v>
      </c>
      <c r="B82" s="9" t="s">
        <v>552</v>
      </c>
      <c r="C82" s="10" t="s">
        <v>559</v>
      </c>
      <c r="D82" s="10" t="s">
        <v>560</v>
      </c>
      <c r="E82" s="10" t="s">
        <v>187</v>
      </c>
      <c r="F82" s="10" t="s">
        <v>561</v>
      </c>
      <c r="G82" s="14"/>
      <c r="H82" s="14" t="s">
        <v>301</v>
      </c>
      <c r="I82" s="14"/>
      <c r="J82" s="14"/>
    </row>
    <row r="83" customFormat="false" ht="23.85" hidden="false" customHeight="false" outlineLevel="0" collapsed="false">
      <c r="A83" s="9" t="s">
        <v>562</v>
      </c>
      <c r="B83" s="9" t="s">
        <v>552</v>
      </c>
      <c r="C83" s="10" t="s">
        <v>563</v>
      </c>
      <c r="D83" s="10" t="s">
        <v>380</v>
      </c>
      <c r="E83" s="10" t="s">
        <v>187</v>
      </c>
      <c r="F83" s="10" t="s">
        <v>564</v>
      </c>
      <c r="G83" s="14"/>
      <c r="H83" s="14" t="s">
        <v>301</v>
      </c>
      <c r="I83" s="14"/>
      <c r="J83" s="14"/>
    </row>
    <row r="84" customFormat="false" ht="23.85" hidden="false" customHeight="false" outlineLevel="0" collapsed="false">
      <c r="A84" s="9" t="s">
        <v>565</v>
      </c>
      <c r="B84" s="9" t="s">
        <v>552</v>
      </c>
      <c r="C84" s="10" t="s">
        <v>566</v>
      </c>
      <c r="D84" s="10" t="s">
        <v>567</v>
      </c>
      <c r="E84" s="10" t="s">
        <v>187</v>
      </c>
      <c r="F84" s="10" t="s">
        <v>568</v>
      </c>
      <c r="G84" s="14"/>
      <c r="H84" s="14" t="s">
        <v>301</v>
      </c>
      <c r="I84" s="14"/>
      <c r="J84" s="14"/>
    </row>
    <row r="85" customFormat="false" ht="35.05" hidden="false" customHeight="false" outlineLevel="0" collapsed="false">
      <c r="A85" s="9" t="s">
        <v>569</v>
      </c>
      <c r="B85" s="9" t="s">
        <v>570</v>
      </c>
      <c r="C85" s="10" t="s">
        <v>571</v>
      </c>
      <c r="D85" s="10" t="s">
        <v>346</v>
      </c>
      <c r="E85" s="10" t="s">
        <v>141</v>
      </c>
      <c r="F85" s="10" t="s">
        <v>572</v>
      </c>
      <c r="G85" s="14"/>
      <c r="H85" s="14" t="s">
        <v>301</v>
      </c>
      <c r="I85" s="14"/>
      <c r="J85" s="14"/>
    </row>
    <row r="86" customFormat="false" ht="23.85" hidden="false" customHeight="false" outlineLevel="0" collapsed="false">
      <c r="A86" s="9" t="s">
        <v>573</v>
      </c>
      <c r="B86" s="9" t="s">
        <v>570</v>
      </c>
      <c r="C86" s="10" t="s">
        <v>574</v>
      </c>
      <c r="D86" s="10" t="s">
        <v>421</v>
      </c>
      <c r="E86" s="10" t="s">
        <v>141</v>
      </c>
      <c r="F86" s="10" t="s">
        <v>575</v>
      </c>
      <c r="G86" s="14"/>
      <c r="H86" s="14" t="s">
        <v>301</v>
      </c>
      <c r="I86" s="14"/>
      <c r="J86" s="14"/>
    </row>
    <row r="87" customFormat="false" ht="23.85" hidden="false" customHeight="false" outlineLevel="0" collapsed="false">
      <c r="A87" s="9" t="s">
        <v>576</v>
      </c>
      <c r="B87" s="9" t="s">
        <v>570</v>
      </c>
      <c r="C87" s="10" t="s">
        <v>577</v>
      </c>
      <c r="D87" s="10" t="s">
        <v>299</v>
      </c>
      <c r="E87" s="10" t="s">
        <v>141</v>
      </c>
      <c r="F87" s="10" t="s">
        <v>578</v>
      </c>
      <c r="G87" s="14"/>
      <c r="H87" s="14" t="s">
        <v>301</v>
      </c>
      <c r="I87" s="14"/>
      <c r="J87" s="14"/>
    </row>
    <row r="88" customFormat="false" ht="23.85" hidden="false" customHeight="false" outlineLevel="0" collapsed="false">
      <c r="A88" s="9" t="s">
        <v>579</v>
      </c>
      <c r="B88" s="9" t="s">
        <v>580</v>
      </c>
      <c r="C88" s="10" t="s">
        <v>581</v>
      </c>
      <c r="D88" s="10" t="s">
        <v>582</v>
      </c>
      <c r="E88" s="10" t="s">
        <v>170</v>
      </c>
      <c r="F88" s="10" t="s">
        <v>583</v>
      </c>
      <c r="G88" s="14"/>
      <c r="H88" s="14" t="s">
        <v>301</v>
      </c>
      <c r="I88" s="14"/>
      <c r="J88" s="14"/>
    </row>
    <row r="89" customFormat="false" ht="23.85" hidden="false" customHeight="false" outlineLevel="0" collapsed="false">
      <c r="A89" s="9" t="s">
        <v>584</v>
      </c>
      <c r="B89" s="9" t="s">
        <v>580</v>
      </c>
      <c r="C89" s="10" t="s">
        <v>585</v>
      </c>
      <c r="D89" s="10" t="s">
        <v>582</v>
      </c>
      <c r="E89" s="10" t="s">
        <v>170</v>
      </c>
      <c r="F89" s="10" t="s">
        <v>586</v>
      </c>
      <c r="G89" s="14"/>
      <c r="H89" s="14" t="s">
        <v>301</v>
      </c>
      <c r="I89" s="14"/>
      <c r="J89" s="14"/>
    </row>
    <row r="90" customFormat="false" ht="23.85" hidden="false" customHeight="false" outlineLevel="0" collapsed="false">
      <c r="A90" s="9" t="s">
        <v>587</v>
      </c>
      <c r="B90" s="9" t="s">
        <v>580</v>
      </c>
      <c r="C90" s="10" t="s">
        <v>588</v>
      </c>
      <c r="D90" s="10" t="s">
        <v>582</v>
      </c>
      <c r="E90" s="10" t="s">
        <v>170</v>
      </c>
      <c r="F90" s="10" t="s">
        <v>589</v>
      </c>
      <c r="G90" s="14"/>
      <c r="H90" s="14" t="s">
        <v>301</v>
      </c>
      <c r="I90" s="14"/>
      <c r="J90" s="14"/>
    </row>
    <row r="91" customFormat="false" ht="35.05" hidden="false" customHeight="false" outlineLevel="0" collapsed="false">
      <c r="A91" s="9" t="s">
        <v>590</v>
      </c>
      <c r="B91" s="9" t="s">
        <v>263</v>
      </c>
      <c r="C91" s="10" t="s">
        <v>591</v>
      </c>
      <c r="D91" s="10" t="s">
        <v>299</v>
      </c>
      <c r="E91" s="10" t="s">
        <v>262</v>
      </c>
      <c r="F91" s="10" t="s">
        <v>592</v>
      </c>
      <c r="G91" s="14"/>
      <c r="H91" s="14" t="s">
        <v>301</v>
      </c>
      <c r="I91" s="14"/>
      <c r="J91" s="14"/>
    </row>
    <row r="92" customFormat="false" ht="23.85" hidden="false" customHeight="false" outlineLevel="0" collapsed="false">
      <c r="A92" s="9" t="s">
        <v>593</v>
      </c>
      <c r="B92" s="9" t="s">
        <v>263</v>
      </c>
      <c r="C92" s="10" t="s">
        <v>594</v>
      </c>
      <c r="D92" s="10" t="s">
        <v>299</v>
      </c>
      <c r="E92" s="10" t="s">
        <v>262</v>
      </c>
      <c r="F92" s="10" t="s">
        <v>595</v>
      </c>
      <c r="G92" s="14"/>
      <c r="H92" s="14" t="s">
        <v>301</v>
      </c>
      <c r="I92" s="14"/>
      <c r="J92" s="14"/>
    </row>
    <row r="93" customFormat="false" ht="23.85" hidden="false" customHeight="false" outlineLevel="0" collapsed="false">
      <c r="A93" s="9" t="s">
        <v>596</v>
      </c>
      <c r="B93" s="9" t="s">
        <v>263</v>
      </c>
      <c r="C93" s="10" t="s">
        <v>597</v>
      </c>
      <c r="D93" s="10" t="s">
        <v>299</v>
      </c>
      <c r="E93" s="10" t="s">
        <v>262</v>
      </c>
      <c r="F93" s="10" t="s">
        <v>598</v>
      </c>
      <c r="G93" s="14"/>
      <c r="H93" s="14" t="s">
        <v>301</v>
      </c>
      <c r="I93" s="14"/>
      <c r="J93" s="14"/>
    </row>
  </sheetData>
  <conditionalFormatting sqref="I7:I93">
    <cfRule type="cellIs" priority="2" operator="equal" aboveAverage="0" equalAverage="0" bottom="0" percent="0" rank="0" text="" dxfId="0">
      <formula>"Gap"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"Satisfactory"</formula>
    </cfRule>
  </conditionalFormatting>
  <dataValidations count="2">
    <dataValidation allowBlank="true" errorStyle="stop" operator="between" showDropDown="false" showErrorMessage="false" showInputMessage="false" sqref="H7:H93" type="list">
      <formula1>"Not requested,Requested,Received,Accepted,Rejected"</formula1>
      <formula2>0</formula2>
    </dataValidation>
    <dataValidation allowBlank="true" errorStyle="stop" operator="between" showDropDown="false" showErrorMessage="false" showInputMessage="false" sqref="I7:I93" type="list">
      <formula1>"Satisfactory,Partial,Gap,Not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56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6" t="s">
        <v>599</v>
      </c>
    </row>
    <row r="2" customFormat="false" ht="15" hidden="false" customHeight="false" outlineLevel="0" collapsed="false">
      <c r="A2" s="7" t="s">
        <v>600</v>
      </c>
    </row>
    <row r="4" customFormat="false" ht="15" hidden="false" customHeight="false" outlineLevel="0" collapsed="false">
      <c r="A4" s="8" t="s">
        <v>279</v>
      </c>
      <c r="B4" s="8" t="s">
        <v>280</v>
      </c>
      <c r="C4" s="8" t="s">
        <v>281</v>
      </c>
      <c r="D4" s="8" t="s">
        <v>601</v>
      </c>
      <c r="E4" s="8" t="s">
        <v>602</v>
      </c>
      <c r="F4" s="8" t="s">
        <v>603</v>
      </c>
      <c r="G4" s="8" t="s">
        <v>37</v>
      </c>
      <c r="H4" s="8" t="s">
        <v>604</v>
      </c>
    </row>
    <row r="5" customFormat="false" ht="23.85" hidden="false" customHeight="false" outlineLevel="0" collapsed="false">
      <c r="A5" s="9" t="str">
        <f aca="false">Questionnaire!A7</f>
        <v>A1</v>
      </c>
      <c r="B5" s="9" t="str">
        <f aca="false">Questionnaire!B7</f>
        <v>Scope and service model</v>
      </c>
      <c r="C5" s="10" t="str">
        <f aca="false">Questionnaire!C7</f>
        <v>Is the service multi-tenant SaaS, single-tenant cloud, or self-hosted? Which edition and version are we buying?</v>
      </c>
      <c r="D5" s="10" t="s">
        <v>605</v>
      </c>
      <c r="E5" s="10" t="s">
        <v>606</v>
      </c>
      <c r="F5" s="10" t="s">
        <v>607</v>
      </c>
      <c r="G5" s="10" t="s">
        <v>608</v>
      </c>
      <c r="H5" s="10"/>
    </row>
    <row r="6" customFormat="false" ht="23.85" hidden="false" customHeight="false" outlineLevel="0" collapsed="false">
      <c r="A6" s="9" t="str">
        <f aca="false">Questionnaire!A8</f>
        <v>A2</v>
      </c>
      <c r="B6" s="9" t="str">
        <f aca="false">Questionnaire!B8</f>
        <v>Scope and service model</v>
      </c>
      <c r="C6" s="10" t="str">
        <f aca="false">Questionnaire!C8</f>
        <v>Which data categories will the service store or process (employee data, passport/ID numbers, financial data)?</v>
      </c>
      <c r="D6" s="10" t="s">
        <v>609</v>
      </c>
      <c r="E6" s="10" t="s">
        <v>606</v>
      </c>
      <c r="F6" s="10" t="s">
        <v>610</v>
      </c>
      <c r="G6" s="10" t="s">
        <v>611</v>
      </c>
      <c r="H6" s="10"/>
    </row>
    <row r="7" customFormat="false" ht="23.85" hidden="false" customHeight="false" outlineLevel="0" collapsed="false">
      <c r="A7" s="9" t="str">
        <f aca="false">Questionnaire!A9</f>
        <v>A3</v>
      </c>
      <c r="B7" s="9" t="str">
        <f aca="false">Questionnaire!B9</f>
        <v>Scope and service model</v>
      </c>
      <c r="C7" s="10" t="str">
        <f aca="false">Questionnaire!C9</f>
        <v>Which of our systems does the service connect to, and which side initiates each connection?</v>
      </c>
      <c r="D7" s="10" t="s">
        <v>609</v>
      </c>
      <c r="E7" s="10" t="s">
        <v>606</v>
      </c>
      <c r="F7" s="10" t="s">
        <v>122</v>
      </c>
      <c r="G7" s="10" t="s">
        <v>261</v>
      </c>
      <c r="H7" s="10"/>
    </row>
    <row r="8" customFormat="false" ht="23.85" hidden="false" customHeight="false" outlineLevel="0" collapsed="false">
      <c r="A8" s="9" t="str">
        <f aca="false">Questionnaire!A10</f>
        <v>B1</v>
      </c>
      <c r="B8" s="9" t="str">
        <f aca="false">Questionnaire!B10</f>
        <v>Identity and sign-on</v>
      </c>
      <c r="C8" s="10" t="str">
        <f aca="false">Questionnaire!C10</f>
        <v>Does the service support SAML 2.0 or OIDC with our IdP, and is SSO enforced for all users?</v>
      </c>
      <c r="D8" s="10" t="s">
        <v>45</v>
      </c>
      <c r="E8" s="10" t="s">
        <v>606</v>
      </c>
      <c r="F8" s="10" t="s">
        <v>46</v>
      </c>
      <c r="G8" s="10" t="s">
        <v>612</v>
      </c>
      <c r="H8" s="10"/>
    </row>
    <row r="9" customFormat="false" ht="23.85" hidden="false" customHeight="false" outlineLevel="0" collapsed="false">
      <c r="A9" s="9" t="str">
        <f aca="false">Questionnaire!A11</f>
        <v>B2</v>
      </c>
      <c r="B9" s="9" t="str">
        <f aca="false">Questionnaire!B11</f>
        <v>Identity and sign-on</v>
      </c>
      <c r="C9" s="10" t="str">
        <f aca="false">Questionnaire!C11</f>
        <v>Can local username/password login be disabled for every user, including administrators? Which break-glass accounts exist?</v>
      </c>
      <c r="D9" s="10" t="s">
        <v>45</v>
      </c>
      <c r="E9" s="10" t="s">
        <v>606</v>
      </c>
      <c r="F9" s="10" t="s">
        <v>46</v>
      </c>
      <c r="G9" s="10" t="s">
        <v>613</v>
      </c>
      <c r="H9" s="10"/>
    </row>
    <row r="10" customFormat="false" ht="23.85" hidden="false" customHeight="false" outlineLevel="0" collapsed="false">
      <c r="A10" s="9" t="str">
        <f aca="false">Questionnaire!A12</f>
        <v>B3</v>
      </c>
      <c r="B10" s="9" t="str">
        <f aca="false">Questionnaire!B12</f>
        <v>Identity and sign-on</v>
      </c>
      <c r="C10" s="10" t="str">
        <f aca="false">Questionnaire!C12</f>
        <v>Is MFA enforced at the IdP for every login, and how can we verify it from the service side?</v>
      </c>
      <c r="D10" s="10" t="s">
        <v>45</v>
      </c>
      <c r="E10" s="10" t="s">
        <v>606</v>
      </c>
      <c r="F10" s="10" t="s">
        <v>46</v>
      </c>
      <c r="G10" s="10" t="s">
        <v>614</v>
      </c>
      <c r="H10" s="10"/>
    </row>
    <row r="11" customFormat="false" ht="23.85" hidden="false" customHeight="false" outlineLevel="0" collapsed="false">
      <c r="A11" s="9" t="str">
        <f aca="false">Questionnaire!A13</f>
        <v>B4</v>
      </c>
      <c r="B11" s="9" t="str">
        <f aca="false">Questionnaire!B13</f>
        <v>Identity and sign-on</v>
      </c>
      <c r="C11" s="10" t="str">
        <f aca="false">Questionnaire!C13</f>
        <v>What session timeout, re-authentication and device or network restrictions apply?</v>
      </c>
      <c r="D11" s="10" t="s">
        <v>45</v>
      </c>
      <c r="E11" s="10" t="s">
        <v>606</v>
      </c>
      <c r="F11" s="10" t="s">
        <v>46</v>
      </c>
      <c r="G11" s="10" t="s">
        <v>615</v>
      </c>
      <c r="H11" s="10"/>
    </row>
    <row r="12" customFormat="false" ht="23.85" hidden="false" customHeight="false" outlineLevel="0" collapsed="false">
      <c r="A12" s="9" t="str">
        <f aca="false">Questionnaire!A14</f>
        <v>C1</v>
      </c>
      <c r="B12" s="9" t="str">
        <f aca="false">Questionnaire!B14</f>
        <v>Provisioning and leavers</v>
      </c>
      <c r="C12" s="10" t="str">
        <f aca="false">Questionnaire!C14</f>
        <v>How are accounts created (SCIM, API, manual, self-signup)? Is self-signup disabled?</v>
      </c>
      <c r="D12" s="10" t="s">
        <v>45</v>
      </c>
      <c r="E12" s="10" t="s">
        <v>606</v>
      </c>
      <c r="F12" s="10" t="s">
        <v>46</v>
      </c>
      <c r="G12" s="10" t="s">
        <v>616</v>
      </c>
      <c r="H12" s="10"/>
    </row>
    <row r="13" customFormat="false" ht="23.85" hidden="false" customHeight="false" outlineLevel="0" collapsed="false">
      <c r="A13" s="9" t="str">
        <f aca="false">Questionnaire!A15</f>
        <v>C2</v>
      </c>
      <c r="B13" s="9" t="str">
        <f aca="false">Questionnaire!B15</f>
        <v>Provisioning and leavers</v>
      </c>
      <c r="C13" s="10" t="str">
        <f aca="false">Questionnaire!C15</f>
        <v>When the HRIS or IdP marks a user inactive, how quickly is access removed in the service?</v>
      </c>
      <c r="D13" s="10" t="s">
        <v>45</v>
      </c>
      <c r="E13" s="10" t="s">
        <v>606</v>
      </c>
      <c r="F13" s="10" t="s">
        <v>46</v>
      </c>
      <c r="G13" s="10" t="s">
        <v>617</v>
      </c>
      <c r="H13" s="10"/>
    </row>
    <row r="14" customFormat="false" ht="23.85" hidden="false" customHeight="false" outlineLevel="0" collapsed="false">
      <c r="A14" s="9" t="str">
        <f aca="false">Questionnaire!A16</f>
        <v>C3</v>
      </c>
      <c r="B14" s="9" t="str">
        <f aca="false">Questionnaire!B16</f>
        <v>Provisioning and leavers</v>
      </c>
      <c r="C14" s="10" t="str">
        <f aca="false">Questionnaire!C16</f>
        <v>How are role changes (movers) reflected in groups, roles and entitlements?</v>
      </c>
      <c r="D14" s="10" t="s">
        <v>45</v>
      </c>
      <c r="E14" s="10" t="s">
        <v>606</v>
      </c>
      <c r="F14" s="10" t="s">
        <v>46</v>
      </c>
      <c r="G14" s="10" t="s">
        <v>618</v>
      </c>
      <c r="H14" s="10"/>
    </row>
    <row r="15" customFormat="false" ht="23.85" hidden="false" customHeight="false" outlineLevel="0" collapsed="false">
      <c r="A15" s="9" t="str">
        <f aca="false">Questionnaire!A17</f>
        <v>C4</v>
      </c>
      <c r="B15" s="9" t="str">
        <f aca="false">Questionnaire!B17</f>
        <v>Provisioning and leavers</v>
      </c>
      <c r="C15" s="10" t="str">
        <f aca="false">Questionnaire!C17</f>
        <v>How are seats assigned and reclaimed, and are dormant accounts reported?</v>
      </c>
      <c r="D15" s="10" t="s">
        <v>45</v>
      </c>
      <c r="E15" s="10" t="s">
        <v>606</v>
      </c>
      <c r="F15" s="10" t="s">
        <v>122</v>
      </c>
      <c r="G15" s="10" t="s">
        <v>618</v>
      </c>
      <c r="H15" s="10"/>
    </row>
    <row r="16" customFormat="false" ht="23.85" hidden="false" customHeight="false" outlineLevel="0" collapsed="false">
      <c r="A16" s="9" t="str">
        <f aca="false">Questionnaire!A18</f>
        <v>C5</v>
      </c>
      <c r="B16" s="9" t="str">
        <f aca="false">Questionnaire!B18</f>
        <v>Provisioning and leavers</v>
      </c>
      <c r="C16" s="10" t="str">
        <f aca="false">Questionnaire!C18</f>
        <v>How often are user access reviews performed, and who signs them off?</v>
      </c>
      <c r="D16" s="10" t="s">
        <v>45</v>
      </c>
      <c r="E16" s="10" t="s">
        <v>606</v>
      </c>
      <c r="F16" s="10" t="s">
        <v>46</v>
      </c>
      <c r="G16" s="10" t="s">
        <v>618</v>
      </c>
      <c r="H16" s="10"/>
    </row>
    <row r="17" customFormat="false" ht="23.85" hidden="false" customHeight="false" outlineLevel="0" collapsed="false">
      <c r="A17" s="9" t="str">
        <f aca="false">Questionnaire!A19</f>
        <v>D1</v>
      </c>
      <c r="B17" s="9" t="str">
        <f aca="false">Questionnaire!B19</f>
        <v>Administration and access</v>
      </c>
      <c r="C17" s="10" t="str">
        <f aca="false">Questionnaire!C19</f>
        <v>Who holds administrator rights on the vendor side and on our side? Are admin accounts separate, MFA-protected and logged?</v>
      </c>
      <c r="D17" s="10" t="s">
        <v>45</v>
      </c>
      <c r="E17" s="10" t="s">
        <v>606</v>
      </c>
      <c r="F17" s="10" t="s">
        <v>46</v>
      </c>
      <c r="G17" s="10" t="s">
        <v>619</v>
      </c>
      <c r="H17" s="10"/>
    </row>
    <row r="18" customFormat="false" ht="23.85" hidden="false" customHeight="false" outlineLevel="0" collapsed="false">
      <c r="A18" s="9" t="str">
        <f aca="false">Questionnaire!A20</f>
        <v>D2</v>
      </c>
      <c r="B18" s="9" t="str">
        <f aca="false">Questionnaire!B20</f>
        <v>Administration and access</v>
      </c>
      <c r="C18" s="10" t="str">
        <f aca="false">Questionnaire!C20</f>
        <v>Can vendor support staff access our data? Under what approval, time limit and logging?</v>
      </c>
      <c r="D18" s="10" t="s">
        <v>45</v>
      </c>
      <c r="E18" s="10" t="s">
        <v>606</v>
      </c>
      <c r="F18" s="10" t="s">
        <v>107</v>
      </c>
      <c r="G18" s="10" t="s">
        <v>620</v>
      </c>
      <c r="H18" s="10"/>
    </row>
    <row r="19" customFormat="false" ht="23.85" hidden="false" customHeight="false" outlineLevel="0" collapsed="false">
      <c r="A19" s="9" t="str">
        <f aca="false">Questionnaire!A21</f>
        <v>D3</v>
      </c>
      <c r="B19" s="9" t="str">
        <f aca="false">Questionnaire!B21</f>
        <v>Administration and access</v>
      </c>
      <c r="C19" s="10" t="str">
        <f aca="false">Questionnaire!C21</f>
        <v>Can entitlement rules (grade-based travel rules) be changed only by authorized admins, and are changes logged?</v>
      </c>
      <c r="D19" s="10" t="s">
        <v>45</v>
      </c>
      <c r="E19" s="10" t="s">
        <v>606</v>
      </c>
      <c r="F19" s="10" t="s">
        <v>46</v>
      </c>
      <c r="G19" s="10" t="s">
        <v>185</v>
      </c>
      <c r="H19" s="10"/>
    </row>
    <row r="20" customFormat="false" ht="35.05" hidden="false" customHeight="false" outlineLevel="0" collapsed="false">
      <c r="A20" s="9" t="str">
        <f aca="false">Questionnaire!A22</f>
        <v>D4</v>
      </c>
      <c r="B20" s="9" t="str">
        <f aca="false">Questionnaire!B22</f>
        <v>Administration and access</v>
      </c>
      <c r="C20" s="10" t="str">
        <f aca="false">Questionnaire!C22</f>
        <v>Is vendor support access to production data from outside the EU (for example from India) restricted, time-limited and approved case by case?</v>
      </c>
      <c r="D20" s="10" t="s">
        <v>45</v>
      </c>
      <c r="E20" s="10" t="s">
        <v>606</v>
      </c>
      <c r="F20" s="10" t="s">
        <v>621</v>
      </c>
      <c r="G20" s="10" t="s">
        <v>108</v>
      </c>
      <c r="H20" s="10"/>
    </row>
    <row r="21" customFormat="false" ht="23.85" hidden="false" customHeight="false" outlineLevel="0" collapsed="false">
      <c r="A21" s="9" t="str">
        <f aca="false">Questionnaire!A23</f>
        <v>D5</v>
      </c>
      <c r="B21" s="9" t="str">
        <f aca="false">Questionnaire!B23</f>
        <v>Administration and access</v>
      </c>
      <c r="C21" s="10" t="str">
        <f aca="false">Questionnaire!C23</f>
        <v>How is visibility of executive and VIP itineraries restricted, including for vendor staff and for bank booker accounts?</v>
      </c>
      <c r="D21" s="10" t="s">
        <v>45</v>
      </c>
      <c r="E21" s="10" t="s">
        <v>606</v>
      </c>
      <c r="F21" s="10" t="s">
        <v>46</v>
      </c>
      <c r="G21" s="10" t="s">
        <v>115</v>
      </c>
      <c r="H21" s="10"/>
    </row>
    <row r="22" customFormat="false" ht="23.85" hidden="false" customHeight="false" outlineLevel="0" collapsed="false">
      <c r="A22" s="9" t="str">
        <f aca="false">Questionnaire!A24</f>
        <v>E1</v>
      </c>
      <c r="B22" s="9" t="str">
        <f aca="false">Questionnaire!B24</f>
        <v>HR data sync</v>
      </c>
      <c r="C22" s="10" t="str">
        <f aca="false">Questionnaire!C24</f>
        <v>Which employee fields are received, and are they limited to the minimum needed?</v>
      </c>
      <c r="D22" s="10" t="s">
        <v>622</v>
      </c>
      <c r="E22" s="10" t="s">
        <v>606</v>
      </c>
      <c r="F22" s="10" t="s">
        <v>623</v>
      </c>
      <c r="G22" s="10" t="s">
        <v>624</v>
      </c>
      <c r="H22" s="10"/>
    </row>
    <row r="23" customFormat="false" ht="23.85" hidden="false" customHeight="false" outlineLevel="0" collapsed="false">
      <c r="A23" s="9" t="str">
        <f aca="false">Questionnaire!A25</f>
        <v>E2</v>
      </c>
      <c r="B23" s="9" t="str">
        <f aca="false">Questionnaire!B25</f>
        <v>HR data sync</v>
      </c>
      <c r="C23" s="10" t="str">
        <f aca="false">Questionnaire!C25</f>
        <v>What method (REST, webhook, SFTP) and direction is used, and who initiates the connection?</v>
      </c>
      <c r="D23" s="10" t="s">
        <v>625</v>
      </c>
      <c r="E23" s="10" t="s">
        <v>606</v>
      </c>
      <c r="F23" s="10" t="s">
        <v>46</v>
      </c>
      <c r="G23" s="10" t="s">
        <v>626</v>
      </c>
      <c r="H23" s="10"/>
    </row>
    <row r="24" customFormat="false" ht="23.85" hidden="false" customHeight="false" outlineLevel="0" collapsed="false">
      <c r="A24" s="9" t="str">
        <f aca="false">Questionnaire!A26</f>
        <v>E3</v>
      </c>
      <c r="B24" s="9" t="str">
        <f aca="false">Questionnaire!B26</f>
        <v>HR data sync</v>
      </c>
      <c r="C24" s="10" t="str">
        <f aca="false">Questionnaire!C26</f>
        <v>How are credentials (API tokens, SFTP keys) stored, scoped and rotated?</v>
      </c>
      <c r="D24" s="10" t="s">
        <v>45</v>
      </c>
      <c r="E24" s="10" t="s">
        <v>606</v>
      </c>
      <c r="F24" s="10" t="s">
        <v>46</v>
      </c>
      <c r="G24" s="10" t="s">
        <v>140</v>
      </c>
      <c r="H24" s="10"/>
    </row>
    <row r="25" customFormat="false" ht="23.85" hidden="false" customHeight="false" outlineLevel="0" collapsed="false">
      <c r="A25" s="9" t="str">
        <f aca="false">Questionnaire!A27</f>
        <v>E4</v>
      </c>
      <c r="B25" s="9" t="str">
        <f aca="false">Questionnaire!B27</f>
        <v>HR data sync</v>
      </c>
      <c r="C25" s="10" t="str">
        <f aca="false">Questionnaire!C27</f>
        <v>What happens when a sync fails or sends bad data (alerting, retry, reconciliation)?</v>
      </c>
      <c r="D25" s="10" t="s">
        <v>627</v>
      </c>
      <c r="E25" s="10" t="s">
        <v>606</v>
      </c>
      <c r="F25" s="10" t="s">
        <v>122</v>
      </c>
      <c r="G25" s="10" t="s">
        <v>628</v>
      </c>
      <c r="H25" s="10"/>
    </row>
    <row r="26" customFormat="false" ht="15" hidden="false" customHeight="false" outlineLevel="0" collapsed="false">
      <c r="A26" s="9" t="str">
        <f aca="false">Questionnaire!A28</f>
        <v>F1</v>
      </c>
      <c r="B26" s="9" t="str">
        <f aca="false">Questionnaire!B28</f>
        <v>Approvals and policy</v>
      </c>
      <c r="C26" s="10" t="str">
        <f aca="false">Questionnaire!C28</f>
        <v>How are policy rules defined, approved and version-controlled?</v>
      </c>
      <c r="D26" s="10" t="s">
        <v>45</v>
      </c>
      <c r="E26" s="10" t="s">
        <v>606</v>
      </c>
      <c r="F26" s="10" t="s">
        <v>122</v>
      </c>
      <c r="G26" s="10" t="s">
        <v>629</v>
      </c>
      <c r="H26" s="10"/>
    </row>
    <row r="27" customFormat="false" ht="23.85" hidden="false" customHeight="false" outlineLevel="0" collapsed="false">
      <c r="A27" s="9" t="str">
        <f aca="false">Questionnaire!A29</f>
        <v>F2</v>
      </c>
      <c r="B27" s="9" t="str">
        <f aca="false">Questionnaire!B29</f>
        <v>Approvals and policy</v>
      </c>
      <c r="C27" s="10" t="str">
        <f aca="false">Questionnaire!C29</f>
        <v>How is an approval request authenticated so it cannot be forged or replayed?</v>
      </c>
      <c r="D27" s="10" t="s">
        <v>45</v>
      </c>
      <c r="E27" s="10" t="s">
        <v>606</v>
      </c>
      <c r="F27" s="10" t="s">
        <v>46</v>
      </c>
      <c r="G27" s="10" t="s">
        <v>630</v>
      </c>
      <c r="H27" s="10"/>
    </row>
    <row r="28" customFormat="false" ht="23.85" hidden="false" customHeight="false" outlineLevel="0" collapsed="false">
      <c r="A28" s="9" t="str">
        <f aca="false">Questionnaire!A30</f>
        <v>F3</v>
      </c>
      <c r="B28" s="9" t="str">
        <f aca="false">Questionnaire!B30</f>
        <v>Approvals and policy</v>
      </c>
      <c r="C28" s="10" t="str">
        <f aca="false">Questionnaire!C30</f>
        <v>Is segregation of duties enforced (a requester cannot approve their own booking)?</v>
      </c>
      <c r="D28" s="10" t="s">
        <v>45</v>
      </c>
      <c r="E28" s="10" t="s">
        <v>606</v>
      </c>
      <c r="F28" s="10" t="s">
        <v>122</v>
      </c>
      <c r="G28" s="10" t="s">
        <v>631</v>
      </c>
      <c r="H28" s="10"/>
    </row>
    <row r="29" customFormat="false" ht="35.05" hidden="false" customHeight="false" outlineLevel="0" collapsed="false">
      <c r="A29" s="9" t="str">
        <f aca="false">Questionnaire!A31</f>
        <v>F4</v>
      </c>
      <c r="B29" s="9" t="str">
        <f aca="false">Questionnaire!B31</f>
        <v>Approvals and policy</v>
      </c>
      <c r="C29" s="10" t="str">
        <f aca="false">Questionnaire!C31</f>
        <v>How does the platform stop users who are not authorised bookers from creating bookings, and how is the sponsor's approval enforced for guest travel?</v>
      </c>
      <c r="D29" s="10" t="s">
        <v>45</v>
      </c>
      <c r="E29" s="10" t="s">
        <v>606</v>
      </c>
      <c r="F29" s="10" t="s">
        <v>122</v>
      </c>
      <c r="G29" s="10" t="s">
        <v>193</v>
      </c>
      <c r="H29" s="10"/>
    </row>
    <row r="30" customFormat="false" ht="23.85" hidden="false" customHeight="false" outlineLevel="0" collapsed="false">
      <c r="A30" s="9" t="str">
        <f aca="false">Questionnaire!A32</f>
        <v>G1</v>
      </c>
      <c r="B30" s="9" t="str">
        <f aca="false">Questionnaire!B32</f>
        <v>Financial sync</v>
      </c>
      <c r="C30" s="10" t="str">
        <f aca="false">Questionnaire!C32</f>
        <v>What financial data is sent to our ERP, and does the vendor have only write access to a staging area?</v>
      </c>
      <c r="D30" s="10" t="s">
        <v>632</v>
      </c>
      <c r="E30" s="10" t="s">
        <v>606</v>
      </c>
      <c r="F30" s="10" t="s">
        <v>46</v>
      </c>
      <c r="G30" s="10" t="s">
        <v>633</v>
      </c>
      <c r="H30" s="10"/>
    </row>
    <row r="31" customFormat="false" ht="23.85" hidden="false" customHeight="false" outlineLevel="0" collapsed="false">
      <c r="A31" s="9" t="str">
        <f aca="false">Questionnaire!A33</f>
        <v>G2</v>
      </c>
      <c r="B31" s="9" t="str">
        <f aca="false">Questionnaire!B33</f>
        <v>Financial sync</v>
      </c>
      <c r="C31" s="10" t="str">
        <f aca="false">Questionnaire!C33</f>
        <v>How are completeness and integrity checked (reconciliation, duplicate detection)?</v>
      </c>
      <c r="D31" s="10" t="s">
        <v>632</v>
      </c>
      <c r="E31" s="10" t="s">
        <v>606</v>
      </c>
      <c r="F31" s="10" t="s">
        <v>122</v>
      </c>
      <c r="G31" s="10" t="s">
        <v>630</v>
      </c>
      <c r="H31" s="10"/>
    </row>
    <row r="32" customFormat="false" ht="23.85" hidden="false" customHeight="false" outlineLevel="0" collapsed="false">
      <c r="A32" s="9" t="str">
        <f aca="false">Questionnaire!A34</f>
        <v>G3</v>
      </c>
      <c r="B32" s="9" t="str">
        <f aca="false">Questionnaire!B34</f>
        <v>Financial sync</v>
      </c>
      <c r="C32" s="10" t="str">
        <f aca="false">Questionnaire!C34</f>
        <v>How are payment details and supplier data protected against tampering?</v>
      </c>
      <c r="D32" s="10" t="s">
        <v>45</v>
      </c>
      <c r="E32" s="10" t="s">
        <v>606</v>
      </c>
      <c r="F32" s="10" t="s">
        <v>122</v>
      </c>
      <c r="G32" s="10" t="s">
        <v>634</v>
      </c>
      <c r="H32" s="10"/>
    </row>
    <row r="33" customFormat="false" ht="23.85" hidden="false" customHeight="false" outlineLevel="0" collapsed="false">
      <c r="A33" s="9" t="str">
        <f aca="false">Questionnaire!A35</f>
        <v>G4</v>
      </c>
      <c r="B33" s="9" t="str">
        <f aca="false">Questionnaire!B35</f>
        <v>Financial sync</v>
      </c>
      <c r="C33" s="10" t="str">
        <f aca="false">Questionnaire!C35</f>
        <v>How are invoices sent to our ERP authenticated and protected against tampering (for example signing or mutual TLS)?</v>
      </c>
      <c r="D33" s="10" t="s">
        <v>45</v>
      </c>
      <c r="E33" s="10" t="s">
        <v>606</v>
      </c>
      <c r="F33" s="10" t="s">
        <v>122</v>
      </c>
      <c r="G33" s="10" t="s">
        <v>635</v>
      </c>
      <c r="H33" s="10"/>
    </row>
    <row r="34" customFormat="false" ht="23.85" hidden="false" customHeight="false" outlineLevel="0" collapsed="false">
      <c r="A34" s="9" t="str">
        <f aca="false">Questionnaire!A36</f>
        <v>G5</v>
      </c>
      <c r="B34" s="9" t="str">
        <f aca="false">Questionnaire!B36</f>
        <v>Financial sync</v>
      </c>
      <c r="C34" s="10" t="str">
        <f aca="false">Questionnaire!C36</f>
        <v>How does the vendor detect duplicate or altered invoices before they reach us, and how are changes to its bank details verified with us?</v>
      </c>
      <c r="D34" s="10" t="s">
        <v>45</v>
      </c>
      <c r="E34" s="10" t="s">
        <v>606</v>
      </c>
      <c r="F34" s="10" t="s">
        <v>122</v>
      </c>
      <c r="G34" s="10" t="s">
        <v>634</v>
      </c>
      <c r="H34" s="10"/>
    </row>
    <row r="35" customFormat="false" ht="23.85" hidden="false" customHeight="false" outlineLevel="0" collapsed="false">
      <c r="A35" s="9" t="str">
        <f aca="false">Questionnaire!A37</f>
        <v>H1</v>
      </c>
      <c r="B35" s="9" t="str">
        <f aca="false">Questionnaire!B37</f>
        <v>Network and gateway</v>
      </c>
      <c r="C35" s="10" t="str">
        <f aca="false">Questionnaire!C37</f>
        <v>Which IP ranges and domains does the vendor use, and how are changes announced so we can allow-list them?</v>
      </c>
      <c r="D35" s="10" t="s">
        <v>45</v>
      </c>
      <c r="E35" s="10" t="s">
        <v>606</v>
      </c>
      <c r="F35" s="10" t="s">
        <v>46</v>
      </c>
      <c r="G35" s="10" t="s">
        <v>47</v>
      </c>
      <c r="H35" s="10"/>
    </row>
    <row r="36" customFormat="false" ht="23.85" hidden="false" customHeight="false" outlineLevel="0" collapsed="false">
      <c r="A36" s="9" t="str">
        <f aca="false">Questionnaire!A38</f>
        <v>H2</v>
      </c>
      <c r="B36" s="9" t="str">
        <f aca="false">Questionnaire!B38</f>
        <v>Network and gateway</v>
      </c>
      <c r="C36" s="10" t="str">
        <f aca="false">Questionnaire!C38</f>
        <v>Which TLS versions and cipher policy are used? Is mutual TLS available for APIs?</v>
      </c>
      <c r="D36" s="10" t="s">
        <v>45</v>
      </c>
      <c r="E36" s="10" t="s">
        <v>606</v>
      </c>
      <c r="F36" s="10" t="s">
        <v>46</v>
      </c>
      <c r="G36" s="10" t="s">
        <v>636</v>
      </c>
      <c r="H36" s="10"/>
    </row>
    <row r="37" customFormat="false" ht="15" hidden="false" customHeight="false" outlineLevel="0" collapsed="false">
      <c r="A37" s="9" t="str">
        <f aca="false">Questionnaire!A39</f>
        <v>H3</v>
      </c>
      <c r="B37" s="9" t="str">
        <f aca="false">Questionnaire!B39</f>
        <v>Network and gateway</v>
      </c>
      <c r="C37" s="10" t="str">
        <f aca="false">Questionnaire!C39</f>
        <v>How are APIs authenticated (OAuth, keys), scoped and rate-limited?</v>
      </c>
      <c r="D37" s="10" t="s">
        <v>45</v>
      </c>
      <c r="E37" s="10" t="s">
        <v>606</v>
      </c>
      <c r="F37" s="10" t="s">
        <v>46</v>
      </c>
      <c r="G37" s="10" t="s">
        <v>637</v>
      </c>
      <c r="H37" s="10"/>
    </row>
    <row r="38" customFormat="false" ht="23.85" hidden="false" customHeight="false" outlineLevel="0" collapsed="false">
      <c r="A38" s="9" t="str">
        <f aca="false">Questionnaire!A40</f>
        <v>I1</v>
      </c>
      <c r="B38" s="9" t="str">
        <f aca="false">Questionnaire!B40</f>
        <v>Data protection</v>
      </c>
      <c r="C38" s="10" t="str">
        <f aca="false">Questionnaire!C40</f>
        <v>How is data encrypted at rest and in transit, who manages keys, and is a customer-managed key option available?</v>
      </c>
      <c r="D38" s="10" t="s">
        <v>45</v>
      </c>
      <c r="E38" s="10" t="s">
        <v>606</v>
      </c>
      <c r="F38" s="10" t="s">
        <v>139</v>
      </c>
      <c r="G38" s="10" t="s">
        <v>140</v>
      </c>
      <c r="H38" s="10"/>
    </row>
    <row r="39" customFormat="false" ht="23.85" hidden="false" customHeight="false" outlineLevel="0" collapsed="false">
      <c r="A39" s="9" t="str">
        <f aca="false">Questionnaire!A41</f>
        <v>I2</v>
      </c>
      <c r="B39" s="9" t="str">
        <f aca="false">Questionnaire!B41</f>
        <v>Data protection</v>
      </c>
      <c r="C39" s="10" t="str">
        <f aca="false">Questionnaire!C41</f>
        <v>In which countries and regions is data hosted and backed up? Are there cross-border transfers?</v>
      </c>
      <c r="D39" s="10" t="s">
        <v>147</v>
      </c>
      <c r="E39" s="10" t="s">
        <v>606</v>
      </c>
      <c r="F39" s="10" t="s">
        <v>148</v>
      </c>
      <c r="G39" s="10" t="s">
        <v>149</v>
      </c>
      <c r="H39" s="10"/>
    </row>
    <row r="40" customFormat="false" ht="23.85" hidden="false" customHeight="false" outlineLevel="0" collapsed="false">
      <c r="A40" s="9" t="str">
        <f aca="false">Questionnaire!A42</f>
        <v>I3</v>
      </c>
      <c r="B40" s="9" t="str">
        <f aca="false">Questionnaire!B42</f>
        <v>Data protection</v>
      </c>
      <c r="C40" s="10" t="str">
        <f aca="false">Questionnaire!C42</f>
        <v>What are the retention, deletion and return rules at contract end, including backups?</v>
      </c>
      <c r="D40" s="10" t="s">
        <v>638</v>
      </c>
      <c r="E40" s="10" t="s">
        <v>606</v>
      </c>
      <c r="F40" s="10" t="s">
        <v>639</v>
      </c>
      <c r="G40" s="10" t="s">
        <v>640</v>
      </c>
      <c r="H40" s="10"/>
    </row>
    <row r="41" customFormat="false" ht="23.85" hidden="false" customHeight="false" outlineLevel="0" collapsed="false">
      <c r="A41" s="9" t="str">
        <f aca="false">Questionnaire!A43</f>
        <v>I4</v>
      </c>
      <c r="B41" s="9" t="str">
        <f aca="false">Questionnaire!B43</f>
        <v>Data protection</v>
      </c>
      <c r="C41" s="10" t="str">
        <f aca="false">Questionnaire!C43</f>
        <v>How is sensitive personal data (passport, ID, emergency contacts) protected (masking, field-level encryption)?</v>
      </c>
      <c r="D41" s="10" t="s">
        <v>632</v>
      </c>
      <c r="E41" s="10" t="s">
        <v>606</v>
      </c>
      <c r="F41" s="10" t="s">
        <v>46</v>
      </c>
      <c r="G41" s="10" t="s">
        <v>641</v>
      </c>
      <c r="H41" s="10"/>
    </row>
    <row r="42" customFormat="false" ht="15" hidden="false" customHeight="false" outlineLevel="0" collapsed="false">
      <c r="A42" s="9" t="str">
        <f aca="false">Questionnaire!A44</f>
        <v>I5</v>
      </c>
      <c r="B42" s="9" t="str">
        <f aca="false">Questionnaire!B44</f>
        <v>Data protection</v>
      </c>
      <c r="C42" s="10" t="str">
        <f aca="false">Questionnaire!C44</f>
        <v>Is our data used for development, testing or AI model training?</v>
      </c>
      <c r="D42" s="10" t="s">
        <v>622</v>
      </c>
      <c r="E42" s="10" t="s">
        <v>606</v>
      </c>
      <c r="F42" s="10" t="s">
        <v>642</v>
      </c>
      <c r="G42" s="10" t="s">
        <v>643</v>
      </c>
      <c r="H42" s="10"/>
    </row>
    <row r="43" customFormat="false" ht="23.85" hidden="false" customHeight="false" outlineLevel="0" collapsed="false">
      <c r="A43" s="9" t="str">
        <f aca="false">Questionnaire!A45</f>
        <v>I6</v>
      </c>
      <c r="B43" s="9" t="str">
        <f aca="false">Questionnaire!B45</f>
        <v>Data protection</v>
      </c>
      <c r="C43" s="10" t="str">
        <f aca="false">Questionnaire!C45</f>
        <v>How are personal data and card data kept out of application logs and monitoring tools?</v>
      </c>
      <c r="D43" s="10" t="s">
        <v>644</v>
      </c>
      <c r="E43" s="10" t="s">
        <v>606</v>
      </c>
      <c r="F43" s="10" t="s">
        <v>75</v>
      </c>
      <c r="G43" s="10" t="s">
        <v>645</v>
      </c>
      <c r="H43" s="10"/>
    </row>
    <row r="44" customFormat="false" ht="15" hidden="false" customHeight="false" outlineLevel="0" collapsed="false">
      <c r="A44" s="9" t="str">
        <f aca="false">Questionnaire!A46</f>
        <v>I7</v>
      </c>
      <c r="B44" s="9" t="str">
        <f aca="false">Questionnaire!B46</f>
        <v>Data protection</v>
      </c>
      <c r="C44" s="10" t="str">
        <f aca="false">Questionnaire!C46</f>
        <v>How long is guest data kept after the trip, and how is it deleted?</v>
      </c>
      <c r="D44" s="10" t="s">
        <v>638</v>
      </c>
      <c r="E44" s="10" t="s">
        <v>606</v>
      </c>
      <c r="F44" s="10" t="s">
        <v>646</v>
      </c>
      <c r="G44" s="10" t="s">
        <v>640</v>
      </c>
      <c r="H44" s="10"/>
    </row>
    <row r="45" customFormat="false" ht="15" hidden="false" customHeight="false" outlineLevel="0" collapsed="false">
      <c r="A45" s="9" t="str">
        <f aca="false">Questionnaire!A47</f>
        <v>I8</v>
      </c>
      <c r="B45" s="9" t="str">
        <f aca="false">Questionnaire!B47</f>
        <v>Data protection</v>
      </c>
      <c r="C45" s="10" t="str">
        <f aca="false">Questionnaire!C47</f>
        <v>How is separation between customer tenants enforced and tested?</v>
      </c>
      <c r="D45" s="10" t="s">
        <v>45</v>
      </c>
      <c r="E45" s="10" t="s">
        <v>606</v>
      </c>
      <c r="F45" s="10" t="s">
        <v>46</v>
      </c>
      <c r="G45" s="10" t="s">
        <v>252</v>
      </c>
      <c r="H45" s="10"/>
    </row>
    <row r="46" customFormat="false" ht="23.85" hidden="false" customHeight="false" outlineLevel="0" collapsed="false">
      <c r="A46" s="9" t="str">
        <f aca="false">Questionnaire!A48</f>
        <v>J1</v>
      </c>
      <c r="B46" s="9" t="str">
        <f aca="false">Questionnaire!B48</f>
        <v>Logging and monitoring</v>
      </c>
      <c r="C46" s="10" t="str">
        <f aca="false">Questionnaire!C48</f>
        <v>Are logins, bookings, approvals, admin actions and sync events logged immutably? How long are logs kept?</v>
      </c>
      <c r="D46" s="10" t="s">
        <v>157</v>
      </c>
      <c r="E46" s="10" t="s">
        <v>606</v>
      </c>
      <c r="F46" s="10" t="s">
        <v>46</v>
      </c>
      <c r="G46" s="10" t="s">
        <v>647</v>
      </c>
      <c r="H46" s="10"/>
    </row>
    <row r="47" customFormat="false" ht="15" hidden="false" customHeight="false" outlineLevel="0" collapsed="false">
      <c r="A47" s="9" t="str">
        <f aca="false">Questionnaire!A49</f>
        <v>J2</v>
      </c>
      <c r="B47" s="9" t="str">
        <f aca="false">Questionnaire!B49</f>
        <v>Logging and monitoring</v>
      </c>
      <c r="C47" s="10" t="str">
        <f aca="false">Questionnaire!C49</f>
        <v>Can we export logs to our SIEM in near real time?</v>
      </c>
      <c r="D47" s="10" t="s">
        <v>157</v>
      </c>
      <c r="E47" s="10" t="s">
        <v>606</v>
      </c>
      <c r="F47" s="10" t="s">
        <v>122</v>
      </c>
      <c r="G47" s="10" t="s">
        <v>648</v>
      </c>
      <c r="H47" s="10"/>
    </row>
    <row r="48" customFormat="false" ht="15" hidden="false" customHeight="false" outlineLevel="0" collapsed="false">
      <c r="A48" s="9" t="str">
        <f aca="false">Questionnaire!A50</f>
        <v>J3</v>
      </c>
      <c r="B48" s="9" t="str">
        <f aca="false">Questionnaire!B50</f>
        <v>Logging and monitoring</v>
      </c>
      <c r="C48" s="10" t="str">
        <f aca="false">Questionnaire!C50</f>
        <v>How are suspicious events detected, and how are we alerted?</v>
      </c>
      <c r="D48" s="10" t="s">
        <v>157</v>
      </c>
      <c r="E48" s="10" t="s">
        <v>606</v>
      </c>
      <c r="F48" s="10" t="s">
        <v>649</v>
      </c>
      <c r="G48" s="10" t="s">
        <v>628</v>
      </c>
      <c r="H48" s="10"/>
    </row>
    <row r="49" customFormat="false" ht="23.85" hidden="false" customHeight="false" outlineLevel="0" collapsed="false">
      <c r="A49" s="9" t="str">
        <f aca="false">Questionnaire!A51</f>
        <v>K1</v>
      </c>
      <c r="B49" s="9" t="str">
        <f aca="false">Questionnaire!B51</f>
        <v>Subprocessors</v>
      </c>
      <c r="C49" s="10" t="str">
        <f aca="false">Questionnaire!C51</f>
        <v>Who are the subprocessors and fourth parties (hosting, booking suppliers, payment), what data do they get and where?</v>
      </c>
      <c r="D49" s="10" t="s">
        <v>268</v>
      </c>
      <c r="E49" s="10" t="s">
        <v>650</v>
      </c>
      <c r="F49" s="10" t="s">
        <v>167</v>
      </c>
      <c r="G49" s="10" t="s">
        <v>651</v>
      </c>
      <c r="H49" s="10"/>
    </row>
    <row r="50" customFormat="false" ht="23.85" hidden="false" customHeight="false" outlineLevel="0" collapsed="false">
      <c r="A50" s="9" t="str">
        <f aca="false">Questionnaire!A52</f>
        <v>K2</v>
      </c>
      <c r="B50" s="9" t="str">
        <f aca="false">Questionnaire!B52</f>
        <v>Subprocessors</v>
      </c>
      <c r="C50" s="10" t="str">
        <f aca="false">Questionnaire!C52</f>
        <v>How are subprocessors assessed, and how are we notified of changes?</v>
      </c>
      <c r="D50" s="10" t="s">
        <v>605</v>
      </c>
      <c r="E50" s="10" t="s">
        <v>650</v>
      </c>
      <c r="F50" s="10" t="s">
        <v>652</v>
      </c>
      <c r="G50" s="10" t="s">
        <v>653</v>
      </c>
      <c r="H50" s="10"/>
    </row>
    <row r="51" customFormat="false" ht="35.05" hidden="false" customHeight="false" outlineLevel="0" collapsed="false">
      <c r="A51" s="9" t="str">
        <f aca="false">Questionnaire!A53</f>
        <v>K3</v>
      </c>
      <c r="B51" s="9" t="str">
        <f aca="false">Questionnaire!B53</f>
        <v>Subprocessors</v>
      </c>
      <c r="C51" s="10" t="str">
        <f aca="false">Questionnaire!C53</f>
        <v>For each fourth party, which personal data is shared, for what purpose, and is the supplier a processor or an independent controller?</v>
      </c>
      <c r="D51" s="10" t="s">
        <v>268</v>
      </c>
      <c r="E51" s="10" t="s">
        <v>650</v>
      </c>
      <c r="F51" s="10" t="s">
        <v>167</v>
      </c>
      <c r="G51" s="10" t="s">
        <v>654</v>
      </c>
      <c r="H51" s="10"/>
    </row>
    <row r="52" customFormat="false" ht="23.85" hidden="false" customHeight="false" outlineLevel="0" collapsed="false">
      <c r="A52" s="9" t="str">
        <f aca="false">Questionnaire!A54</f>
        <v>K4</v>
      </c>
      <c r="B52" s="9" t="str">
        <f aca="false">Questionnaire!B54</f>
        <v>Subprocessors</v>
      </c>
      <c r="C52" s="10" t="str">
        <f aca="false">Questionnaire!C54</f>
        <v>Does the contract give us advance notice of subprocessor changes and a right to object?</v>
      </c>
      <c r="D52" s="10" t="s">
        <v>605</v>
      </c>
      <c r="E52" s="10" t="s">
        <v>650</v>
      </c>
      <c r="F52" s="10" t="s">
        <v>652</v>
      </c>
      <c r="G52" s="10" t="s">
        <v>653</v>
      </c>
      <c r="H52" s="10"/>
    </row>
    <row r="53" customFormat="false" ht="23.85" hidden="false" customHeight="false" outlineLevel="0" collapsed="false">
      <c r="A53" s="9" t="str">
        <f aca="false">Questionnaire!A55</f>
        <v>K5</v>
      </c>
      <c r="B53" s="9" t="str">
        <f aca="false">Questionnaire!B55</f>
        <v>Subprocessors</v>
      </c>
      <c r="C53" s="10" t="str">
        <f aca="false">Questionnaire!C55</f>
        <v>How do visa agencies and other suppliers delete or return data after the trip?</v>
      </c>
      <c r="D53" s="10" t="s">
        <v>638</v>
      </c>
      <c r="E53" s="10" t="s">
        <v>606</v>
      </c>
      <c r="F53" s="10" t="s">
        <v>639</v>
      </c>
      <c r="G53" s="10" t="s">
        <v>640</v>
      </c>
      <c r="H53" s="10"/>
    </row>
    <row r="54" customFormat="false" ht="23.85" hidden="false" customHeight="false" outlineLevel="0" collapsed="false">
      <c r="A54" s="9" t="str">
        <f aca="false">Questionnaire!A56</f>
        <v>L1</v>
      </c>
      <c r="B54" s="9" t="str">
        <f aca="false">Questionnaire!B56</f>
        <v>Assurance</v>
      </c>
      <c r="C54" s="10" t="str">
        <f aca="false">Questionnaire!C56</f>
        <v>Is there a current SOC 2 Type II or ISO 27001 report whose scope covers this service?</v>
      </c>
      <c r="D54" s="10" t="s">
        <v>655</v>
      </c>
      <c r="E54" s="10" t="s">
        <v>606</v>
      </c>
      <c r="F54" s="10" t="s">
        <v>607</v>
      </c>
      <c r="G54" s="10" t="s">
        <v>653</v>
      </c>
      <c r="H54" s="10" t="s">
        <v>227</v>
      </c>
    </row>
    <row r="55" customFormat="false" ht="23.85" hidden="false" customHeight="false" outlineLevel="0" collapsed="false">
      <c r="A55" s="9" t="str">
        <f aca="false">Questionnaire!A57</f>
        <v>L2</v>
      </c>
      <c r="B55" s="9" t="str">
        <f aca="false">Questionnaire!B57</f>
        <v>Assurance</v>
      </c>
      <c r="C55" s="10" t="str">
        <f aca="false">Questionnaire!C57</f>
        <v>When was the last independent penetration test, and what is the remediation status?</v>
      </c>
      <c r="D55" s="10" t="s">
        <v>224</v>
      </c>
      <c r="E55" s="10" t="s">
        <v>650</v>
      </c>
      <c r="F55" s="10" t="s">
        <v>656</v>
      </c>
      <c r="G55" s="10" t="s">
        <v>657</v>
      </c>
      <c r="H55" s="10"/>
    </row>
    <row r="56" customFormat="false" ht="15" hidden="false" customHeight="false" outlineLevel="0" collapsed="false">
      <c r="A56" s="9" t="str">
        <f aca="false">Questionnaire!A58</f>
        <v>L3</v>
      </c>
      <c r="B56" s="9" t="str">
        <f aca="false">Questionnaire!B58</f>
        <v>Assurance</v>
      </c>
      <c r="C56" s="10" t="str">
        <f aca="false">Questionnaire!C58</f>
        <v>What are the vulnerability management and patching timelines?</v>
      </c>
      <c r="D56" s="10" t="s">
        <v>45</v>
      </c>
      <c r="E56" s="10" t="s">
        <v>606</v>
      </c>
      <c r="F56" s="10" t="s">
        <v>46</v>
      </c>
      <c r="G56" s="10" t="s">
        <v>658</v>
      </c>
      <c r="H56" s="10"/>
    </row>
    <row r="57" customFormat="false" ht="23.85" hidden="false" customHeight="false" outlineLevel="0" collapsed="false">
      <c r="A57" s="9" t="str">
        <f aca="false">Questionnaire!A59</f>
        <v>M1</v>
      </c>
      <c r="B57" s="9" t="str">
        <f aca="false">Questionnaire!B59</f>
        <v>Resilience and exit</v>
      </c>
      <c r="C57" s="10" t="str">
        <f aca="false">Questionnaire!C59</f>
        <v>What are the RTO, RPO and uptime SLA, and when was disaster recovery last tested?</v>
      </c>
      <c r="D57" s="10" t="s">
        <v>659</v>
      </c>
      <c r="E57" s="10" t="s">
        <v>650</v>
      </c>
      <c r="F57" s="10" t="s">
        <v>660</v>
      </c>
      <c r="G57" s="10" t="s">
        <v>661</v>
      </c>
      <c r="H57" s="10"/>
    </row>
    <row r="58" customFormat="false" ht="15" hidden="false" customHeight="false" outlineLevel="0" collapsed="false">
      <c r="A58" s="9" t="str">
        <f aca="false">Questionnaire!A60</f>
        <v>M2</v>
      </c>
      <c r="B58" s="9" t="str">
        <f aca="false">Questionnaire!B60</f>
        <v>Resilience and exit</v>
      </c>
      <c r="C58" s="10" t="str">
        <f aca="false">Questionnaire!C60</f>
        <v>What is the breach notification commitment and process?</v>
      </c>
      <c r="D58" s="10" t="s">
        <v>662</v>
      </c>
      <c r="E58" s="10" t="s">
        <v>606</v>
      </c>
      <c r="F58" s="10" t="s">
        <v>649</v>
      </c>
      <c r="G58" s="10" t="s">
        <v>663</v>
      </c>
      <c r="H58" s="10"/>
    </row>
    <row r="59" customFormat="false" ht="23.85" hidden="false" customHeight="false" outlineLevel="0" collapsed="false">
      <c r="A59" s="9" t="str">
        <f aca="false">Questionnaire!A61</f>
        <v>M3</v>
      </c>
      <c r="B59" s="9" t="str">
        <f aca="false">Questionnaire!B61</f>
        <v>Resilience and exit</v>
      </c>
      <c r="C59" s="10" t="str">
        <f aca="false">Questionnaire!C61</f>
        <v>What is the exit plan (data export formats, transition support) and our manual fallback if the vendor is unavailable?</v>
      </c>
      <c r="D59" s="10" t="s">
        <v>664</v>
      </c>
      <c r="E59" s="10" t="s">
        <v>650</v>
      </c>
      <c r="F59" s="10" t="s">
        <v>122</v>
      </c>
      <c r="G59" s="10" t="s">
        <v>665</v>
      </c>
      <c r="H59" s="10"/>
    </row>
    <row r="60" customFormat="false" ht="23.85" hidden="false" customHeight="false" outlineLevel="0" collapsed="false">
      <c r="A60" s="9" t="str">
        <f aca="false">Questionnaire!A62</f>
        <v>N1</v>
      </c>
      <c r="B60" s="9" t="str">
        <f aca="false">Questionnaire!B62</f>
        <v>Contract terms</v>
      </c>
      <c r="C60" s="10" t="str">
        <f aca="false">Questionnaire!C62</f>
        <v>Does the contract fully describe the services, the functions supported, and the conditions for subcontracting?</v>
      </c>
      <c r="D60" s="10" t="s">
        <v>666</v>
      </c>
      <c r="E60" s="10" t="s">
        <v>606</v>
      </c>
      <c r="F60" s="10" t="s">
        <v>244</v>
      </c>
      <c r="G60" s="10" t="s">
        <v>245</v>
      </c>
      <c r="H60" s="10"/>
    </row>
    <row r="61" customFormat="false" ht="23.85" hidden="false" customHeight="false" outlineLevel="0" collapsed="false">
      <c r="A61" s="9" t="str">
        <f aca="false">Questionnaire!A63</f>
        <v>N2</v>
      </c>
      <c r="B61" s="9" t="str">
        <f aca="false">Questionnaire!B63</f>
        <v>Contract terms</v>
      </c>
      <c r="C61" s="10" t="str">
        <f aca="false">Questionnaire!C63</f>
        <v>Does the vendor commit to cooperate with our competent and resolution authorities?</v>
      </c>
      <c r="D61" s="10" t="s">
        <v>667</v>
      </c>
      <c r="E61" s="10" t="s">
        <v>606</v>
      </c>
      <c r="F61" s="10" t="s">
        <v>668</v>
      </c>
      <c r="G61" s="10" t="s">
        <v>245</v>
      </c>
      <c r="H61" s="10"/>
    </row>
    <row r="62" customFormat="false" ht="23.85" hidden="false" customHeight="false" outlineLevel="0" collapsed="false">
      <c r="A62" s="9" t="str">
        <f aca="false">Questionnaire!A64</f>
        <v>N3</v>
      </c>
      <c r="B62" s="9" t="str">
        <f aca="false">Questionnaire!B64</f>
        <v>Contract terms</v>
      </c>
      <c r="C62" s="10" t="str">
        <f aca="false">Questionnaire!C64</f>
        <v>What termination rights and minimum notice periods does the contract provide?</v>
      </c>
      <c r="D62" s="10" t="s">
        <v>669</v>
      </c>
      <c r="E62" s="10" t="s">
        <v>606</v>
      </c>
      <c r="F62" s="10" t="s">
        <v>122</v>
      </c>
      <c r="G62" s="10" t="s">
        <v>245</v>
      </c>
      <c r="H62" s="10"/>
    </row>
    <row r="63" customFormat="false" ht="23.85" hidden="false" customHeight="false" outlineLevel="0" collapsed="false">
      <c r="A63" s="9" t="str">
        <f aca="false">Questionnaire!A65</f>
        <v>N4</v>
      </c>
      <c r="B63" s="9" t="str">
        <f aca="false">Questionnaire!B65</f>
        <v>Contract terms</v>
      </c>
      <c r="C63" s="10" t="str">
        <f aca="false">Questionnaire!C65</f>
        <v>Does the vendor assist with ICT incidents at no extra cost or at a predetermined cost?</v>
      </c>
      <c r="D63" s="10" t="s">
        <v>670</v>
      </c>
      <c r="E63" s="10" t="s">
        <v>606</v>
      </c>
      <c r="F63" s="10" t="s">
        <v>671</v>
      </c>
      <c r="G63" s="10" t="s">
        <v>672</v>
      </c>
      <c r="H63" s="10"/>
    </row>
    <row r="64" customFormat="false" ht="23.85" hidden="false" customHeight="false" outlineLevel="0" collapsed="false">
      <c r="A64" s="9" t="str">
        <f aca="false">Questionnaire!A66</f>
        <v>N5</v>
      </c>
      <c r="B64" s="9" t="str">
        <f aca="false">Questionnaire!B66</f>
        <v>Contract terms</v>
      </c>
      <c r="C64" s="10" t="str">
        <f aca="false">Questionnaire!C66</f>
        <v>Does the contract guarantee access to, recovery and return of our data if the vendor becomes insolvent or stops the service?</v>
      </c>
      <c r="D64" s="10" t="s">
        <v>638</v>
      </c>
      <c r="E64" s="10" t="s">
        <v>606</v>
      </c>
      <c r="F64" s="10" t="s">
        <v>84</v>
      </c>
      <c r="G64" s="10" t="s">
        <v>245</v>
      </c>
      <c r="H64" s="10"/>
    </row>
    <row r="65" customFormat="false" ht="23.85" hidden="false" customHeight="false" outlineLevel="0" collapsed="false">
      <c r="A65" s="9" t="str">
        <f aca="false">Questionnaire!A67</f>
        <v>N6</v>
      </c>
      <c r="B65" s="9" t="str">
        <f aca="false">Questionnaire!B67</f>
        <v>Contract terms</v>
      </c>
      <c r="C65" s="10" t="str">
        <f aca="false">Questionnaire!C67</f>
        <v>Will the vendor take part in our security awareness and resilience training where required?</v>
      </c>
      <c r="D65" s="10" t="s">
        <v>673</v>
      </c>
      <c r="E65" s="10" t="s">
        <v>606</v>
      </c>
      <c r="F65" s="10" t="s">
        <v>122</v>
      </c>
      <c r="G65" s="10" t="s">
        <v>674</v>
      </c>
      <c r="H65" s="10"/>
    </row>
    <row r="66" customFormat="false" ht="23.85" hidden="false" customHeight="false" outlineLevel="0" collapsed="false">
      <c r="A66" s="9" t="str">
        <f aca="false">Questionnaire!A68</f>
        <v>N7</v>
      </c>
      <c r="B66" s="9" t="str">
        <f aca="false">Questionnaire!B68</f>
        <v>Contract terms</v>
      </c>
      <c r="C66" s="10" t="str">
        <f aca="false">Questionnaire!C68</f>
        <v>Does the contract give us rights of access, inspection and audit over the service?</v>
      </c>
      <c r="D66" s="10" t="s">
        <v>675</v>
      </c>
      <c r="E66" s="10" t="s">
        <v>650</v>
      </c>
      <c r="F66" s="10" t="s">
        <v>676</v>
      </c>
      <c r="G66" s="10" t="s">
        <v>653</v>
      </c>
      <c r="H66" s="10"/>
    </row>
    <row r="67" customFormat="false" ht="35.05" hidden="false" customHeight="false" outlineLevel="0" collapsed="false">
      <c r="A67" s="9" t="str">
        <f aca="false">Questionnaire!A69</f>
        <v>O1</v>
      </c>
      <c r="B67" s="9" t="str">
        <f aca="false">Questionnaire!B69</f>
        <v>Connector and credentials</v>
      </c>
      <c r="C67" s="10" t="str">
        <f aca="false">Questionnaire!C69</f>
        <v>Which source IP addresses will the connector use to reach our systems, and are they fixed, documented and announced before any change?</v>
      </c>
      <c r="D67" s="10" t="s">
        <v>45</v>
      </c>
      <c r="E67" s="10" t="s">
        <v>606</v>
      </c>
      <c r="F67" s="10" t="s">
        <v>46</v>
      </c>
      <c r="G67" s="10" t="s">
        <v>47</v>
      </c>
      <c r="H67" s="10"/>
    </row>
    <row r="68" customFormat="false" ht="23.85" hidden="false" customHeight="false" outlineLevel="0" collapsed="false">
      <c r="A68" s="9" t="str">
        <f aca="false">Questionnaire!A70</f>
        <v>O2</v>
      </c>
      <c r="B68" s="9" t="str">
        <f aca="false">Questionnaire!B70</f>
        <v>Connector and credentials</v>
      </c>
      <c r="C68" s="10" t="str">
        <f aca="false">Questionnaire!C70</f>
        <v>Does the connector use mutual TLS or an equivalent strong client authentication for each connection to our systems?</v>
      </c>
      <c r="D68" s="10" t="s">
        <v>45</v>
      </c>
      <c r="E68" s="10" t="s">
        <v>606</v>
      </c>
      <c r="F68" s="10" t="s">
        <v>46</v>
      </c>
      <c r="G68" s="10" t="s">
        <v>55</v>
      </c>
      <c r="H68" s="10"/>
    </row>
    <row r="69" customFormat="false" ht="23.85" hidden="false" customHeight="false" outlineLevel="0" collapsed="false">
      <c r="A69" s="9" t="str">
        <f aca="false">Questionnaire!A71</f>
        <v>O3</v>
      </c>
      <c r="B69" s="9" t="str">
        <f aca="false">Questionnaire!B71</f>
        <v>Connector and credentials</v>
      </c>
      <c r="C69" s="10" t="str">
        <f aca="false">Questionnaire!C71</f>
        <v>Where are our credentials for the HR system, HR portal, expense system and ERP stored, and who at the vendor can read them?</v>
      </c>
      <c r="D69" s="10" t="s">
        <v>45</v>
      </c>
      <c r="E69" s="10" t="s">
        <v>606</v>
      </c>
      <c r="F69" s="10" t="s">
        <v>46</v>
      </c>
      <c r="G69" s="10" t="s">
        <v>62</v>
      </c>
      <c r="H69" s="10"/>
    </row>
    <row r="70" customFormat="false" ht="23.85" hidden="false" customHeight="false" outlineLevel="0" collapsed="false">
      <c r="A70" s="9" t="str">
        <f aca="false">Questionnaire!A72</f>
        <v>O4</v>
      </c>
      <c r="B70" s="9" t="str">
        <f aca="false">Questionnaire!B72</f>
        <v>Connector and credentials</v>
      </c>
      <c r="C70" s="10" t="str">
        <f aca="false">Questionnaire!C72</f>
        <v>How often are these credentials rotated, and can we force immediate rotation or revocation?</v>
      </c>
      <c r="D70" s="10" t="s">
        <v>45</v>
      </c>
      <c r="E70" s="10" t="s">
        <v>606</v>
      </c>
      <c r="F70" s="10" t="s">
        <v>46</v>
      </c>
      <c r="G70" s="10" t="s">
        <v>68</v>
      </c>
      <c r="H70" s="10"/>
    </row>
    <row r="71" customFormat="false" ht="23.85" hidden="false" customHeight="false" outlineLevel="0" collapsed="false">
      <c r="A71" s="9" t="str">
        <f aca="false">Questionnaire!A73</f>
        <v>O5</v>
      </c>
      <c r="B71" s="9" t="str">
        <f aca="false">Questionnaire!B73</f>
        <v>Connector and credentials</v>
      </c>
      <c r="C71" s="10" t="str">
        <f aca="false">Questionnaire!C73</f>
        <v>Is the connector a dedicated instance for our bank, and how is it patched, monitored and isolated from other customers?</v>
      </c>
      <c r="D71" s="10" t="s">
        <v>45</v>
      </c>
      <c r="E71" s="10" t="s">
        <v>606</v>
      </c>
      <c r="F71" s="10" t="s">
        <v>46</v>
      </c>
      <c r="G71" s="10" t="s">
        <v>677</v>
      </c>
      <c r="H71" s="10"/>
    </row>
    <row r="72" customFormat="false" ht="23.85" hidden="false" customHeight="false" outlineLevel="0" collapsed="false">
      <c r="A72" s="9" t="str">
        <f aca="false">Questionnaire!A74</f>
        <v>O6</v>
      </c>
      <c r="B72" s="9" t="str">
        <f aca="false">Questionnaire!B74</f>
        <v>Connector and credentials</v>
      </c>
      <c r="C72" s="10" t="str">
        <f aca="false">Questionnaire!C74</f>
        <v>How does the connector enforce read-only access and the agreed data fields, and how is this logged?</v>
      </c>
      <c r="D72" s="10" t="s">
        <v>45</v>
      </c>
      <c r="E72" s="10" t="s">
        <v>606</v>
      </c>
      <c r="F72" s="10" t="s">
        <v>75</v>
      </c>
      <c r="G72" s="10" t="s">
        <v>633</v>
      </c>
      <c r="H72" s="10"/>
    </row>
    <row r="73" customFormat="false" ht="23.85" hidden="false" customHeight="false" outlineLevel="0" collapsed="false">
      <c r="A73" s="9" t="str">
        <f aca="false">Questionnaire!A75</f>
        <v>O7</v>
      </c>
      <c r="B73" s="9" t="str">
        <f aca="false">Questionnaire!B75</f>
        <v>Connector and credentials</v>
      </c>
      <c r="C73" s="10" t="str">
        <f aca="false">Questionnaire!C75</f>
        <v>What happens to the connector and our credentials at contract end, and how is deletion evidenced?</v>
      </c>
      <c r="D73" s="10" t="s">
        <v>83</v>
      </c>
      <c r="E73" s="10" t="s">
        <v>650</v>
      </c>
      <c r="F73" s="10" t="s">
        <v>84</v>
      </c>
      <c r="G73" s="10" t="s">
        <v>85</v>
      </c>
      <c r="H73" s="10"/>
    </row>
    <row r="74" customFormat="false" ht="23.85" hidden="false" customHeight="false" outlineLevel="0" collapsed="false">
      <c r="A74" s="9" t="str">
        <f aca="false">Questionnaire!A76</f>
        <v>P1</v>
      </c>
      <c r="B74" s="9" t="str">
        <f aca="false">Questionnaire!B76</f>
        <v>Virtual cards</v>
      </c>
      <c r="C74" s="10" t="str">
        <f aca="false">Questionnaire!C76</f>
        <v>Which party stores or processes card numbers, and does each hold a current PCI DSS attestation that covers this service?</v>
      </c>
      <c r="D74" s="10" t="s">
        <v>201</v>
      </c>
      <c r="E74" s="10" t="s">
        <v>606</v>
      </c>
      <c r="F74" s="10" t="s">
        <v>122</v>
      </c>
      <c r="G74" s="10" t="s">
        <v>202</v>
      </c>
      <c r="H74" s="10" t="s">
        <v>203</v>
      </c>
    </row>
    <row r="75" customFormat="false" ht="23.85" hidden="false" customHeight="false" outlineLevel="0" collapsed="false">
      <c r="A75" s="9" t="str">
        <f aca="false">Questionnaire!A77</f>
        <v>P2</v>
      </c>
      <c r="B75" s="9" t="str">
        <f aca="false">Questionnaire!B77</f>
        <v>Virtual cards</v>
      </c>
      <c r="C75" s="10" t="str">
        <f aca="false">Questionnaire!C77</f>
        <v>Are virtual cards single-use with a spending limit per booking, and who can change the limits?</v>
      </c>
      <c r="D75" s="10" t="s">
        <v>45</v>
      </c>
      <c r="E75" s="10" t="s">
        <v>606</v>
      </c>
      <c r="F75" s="10" t="s">
        <v>122</v>
      </c>
      <c r="G75" s="10" t="s">
        <v>678</v>
      </c>
      <c r="H75" s="10" t="s">
        <v>203</v>
      </c>
    </row>
    <row r="76" customFormat="false" ht="23.85" hidden="false" customHeight="false" outlineLevel="0" collapsed="false">
      <c r="A76" s="9" t="str">
        <f aca="false">Questionnaire!A78</f>
        <v>P3</v>
      </c>
      <c r="B76" s="9" t="str">
        <f aca="false">Questionnaire!B78</f>
        <v>Virtual cards</v>
      </c>
      <c r="C76" s="10" t="str">
        <f aca="false">Questionnaire!C78</f>
        <v>Does the platform hold full card numbers or only tokens, and how are numbers protected when shown to users?</v>
      </c>
      <c r="D76" s="10" t="s">
        <v>45</v>
      </c>
      <c r="E76" s="10" t="s">
        <v>606</v>
      </c>
      <c r="F76" s="10" t="s">
        <v>122</v>
      </c>
      <c r="G76" s="10" t="s">
        <v>679</v>
      </c>
      <c r="H76" s="10" t="s">
        <v>203</v>
      </c>
    </row>
    <row r="77" customFormat="false" ht="23.85" hidden="false" customHeight="false" outlineLevel="0" collapsed="false">
      <c r="A77" s="9" t="str">
        <f aca="false">Questionnaire!A79</f>
        <v>P4</v>
      </c>
      <c r="B77" s="9" t="str">
        <f aca="false">Questionnaire!B79</f>
        <v>Virtual cards</v>
      </c>
      <c r="C77" s="10" t="str">
        <f aca="false">Questionnaire!C79</f>
        <v>How are card transactions reconciled to bookings and to the monthly invoice, and how are disputes handled?</v>
      </c>
      <c r="D77" s="10" t="s">
        <v>45</v>
      </c>
      <c r="E77" s="10" t="s">
        <v>606</v>
      </c>
      <c r="F77" s="10" t="s">
        <v>122</v>
      </c>
      <c r="G77" s="10" t="s">
        <v>630</v>
      </c>
      <c r="H77" s="10" t="s">
        <v>203</v>
      </c>
    </row>
    <row r="78" customFormat="false" ht="23.85" hidden="false" customHeight="false" outlineLevel="0" collapsed="false">
      <c r="A78" s="9" t="str">
        <f aca="false">Questionnaire!A80</f>
        <v>Q1</v>
      </c>
      <c r="B78" s="9" t="str">
        <f aca="false">Questionnaire!B80</f>
        <v>Allowance, gifts and loyalty</v>
      </c>
      <c r="C78" s="10" t="str">
        <f aca="false">Questionnaire!C80</f>
        <v>Who can change the daily allowance rate table, and how are changes approved, logged and made visible to Finance?</v>
      </c>
      <c r="D78" s="10" t="s">
        <v>45</v>
      </c>
      <c r="E78" s="10" t="s">
        <v>606</v>
      </c>
      <c r="F78" s="10" t="s">
        <v>122</v>
      </c>
      <c r="G78" s="10" t="s">
        <v>185</v>
      </c>
      <c r="H78" s="10" t="s">
        <v>186</v>
      </c>
    </row>
    <row r="79" customFormat="false" ht="23.85" hidden="false" customHeight="false" outlineLevel="0" collapsed="false">
      <c r="A79" s="9" t="str">
        <f aca="false">Questionnaire!A81</f>
        <v>Q2</v>
      </c>
      <c r="B79" s="9" t="str">
        <f aca="false">Questionnaire!B81</f>
        <v>Allowance, gifts and loyalty</v>
      </c>
      <c r="C79" s="10" t="str">
        <f aca="false">Questionnaire!C81</f>
        <v>How is the allowance calculated, and how are calculation errors detected before the amount reaches payroll or the expense system?</v>
      </c>
      <c r="D79" s="10" t="s">
        <v>45</v>
      </c>
      <c r="E79" s="10" t="s">
        <v>606</v>
      </c>
      <c r="F79" s="10" t="s">
        <v>122</v>
      </c>
      <c r="G79" s="10" t="s">
        <v>630</v>
      </c>
      <c r="H79" s="10" t="s">
        <v>186</v>
      </c>
    </row>
    <row r="80" customFormat="false" ht="23.85" hidden="false" customHeight="false" outlineLevel="0" collapsed="false">
      <c r="A80" s="9" t="str">
        <f aca="false">Questionnaire!A82</f>
        <v>Q3</v>
      </c>
      <c r="B80" s="9" t="str">
        <f aca="false">Questionnaire!B82</f>
        <v>Allowance, gifts and loyalty</v>
      </c>
      <c r="C80" s="10" t="str">
        <f aca="false">Questionnaire!C82</f>
        <v>How are gift and flower orders checked against value limits and recipient restrictions, and how is the audit trail kept?</v>
      </c>
      <c r="D80" s="10" t="s">
        <v>45</v>
      </c>
      <c r="E80" s="10" t="s">
        <v>606</v>
      </c>
      <c r="F80" s="10" t="s">
        <v>623</v>
      </c>
      <c r="G80" s="10" t="s">
        <v>680</v>
      </c>
      <c r="H80" s="10" t="s">
        <v>194</v>
      </c>
    </row>
    <row r="81" customFormat="false" ht="23.85" hidden="false" customHeight="false" outlineLevel="0" collapsed="false">
      <c r="A81" s="9" t="str">
        <f aca="false">Questionnaire!A83</f>
        <v>Q4</v>
      </c>
      <c r="B81" s="9" t="str">
        <f aca="false">Questionnaire!B83</f>
        <v>Allowance, gifts and loyalty</v>
      </c>
      <c r="C81" s="10" t="str">
        <f aca="false">Questionnaire!C83</f>
        <v>How are loyalty and frequent flyer numbers stored, and who can see or use them?</v>
      </c>
      <c r="D81" s="10" t="s">
        <v>45</v>
      </c>
      <c r="E81" s="10" t="s">
        <v>606</v>
      </c>
      <c r="F81" s="10" t="s">
        <v>46</v>
      </c>
      <c r="G81" s="10" t="s">
        <v>681</v>
      </c>
      <c r="H81" s="10"/>
    </row>
    <row r="82" customFormat="false" ht="15" hidden="false" customHeight="false" outlineLevel="0" collapsed="false">
      <c r="A82" s="9" t="str">
        <f aca="false">Questionnaire!A84</f>
        <v>Q5</v>
      </c>
      <c r="B82" s="9" t="str">
        <f aca="false">Questionnaire!B84</f>
        <v>Allowance, gifts and loyalty</v>
      </c>
      <c r="C82" s="10" t="str">
        <f aca="false">Questionnaire!C84</f>
        <v>How are discount codes and corporate rates protected from misuse?</v>
      </c>
      <c r="D82" s="10" t="s">
        <v>45</v>
      </c>
      <c r="E82" s="10" t="s">
        <v>606</v>
      </c>
      <c r="F82" s="10" t="s">
        <v>122</v>
      </c>
      <c r="G82" s="10" t="s">
        <v>682</v>
      </c>
      <c r="H82" s="10"/>
    </row>
    <row r="83" customFormat="false" ht="35.05" hidden="false" customHeight="false" outlineLevel="0" collapsed="false">
      <c r="A83" s="9" t="str">
        <f aca="false">Questionnaire!A85</f>
        <v>T1</v>
      </c>
      <c r="B83" s="9" t="str">
        <f aca="false">Questionnaire!B85</f>
        <v>Regional and transfers</v>
      </c>
      <c r="C83" s="10" t="str">
        <f aca="false">Questionnaire!C85</f>
        <v>Which countries can access or receive personal data (support, subprocessors, suppliers), and what transfer mechanism applies to each?</v>
      </c>
      <c r="D83" s="10" t="s">
        <v>147</v>
      </c>
      <c r="E83" s="10" t="s">
        <v>606</v>
      </c>
      <c r="F83" s="10" t="s">
        <v>148</v>
      </c>
      <c r="G83" s="10" t="s">
        <v>149</v>
      </c>
      <c r="H83" s="10" t="s">
        <v>150</v>
      </c>
    </row>
    <row r="84" customFormat="false" ht="23.85" hidden="false" customHeight="false" outlineLevel="0" collapsed="false">
      <c r="A84" s="9" t="str">
        <f aca="false">Questionnaire!A86</f>
        <v>T2</v>
      </c>
      <c r="B84" s="9" t="str">
        <f aca="false">Questionnaire!B86</f>
        <v>Regional and transfers</v>
      </c>
      <c r="C84" s="10" t="str">
        <f aca="false">Questionnaire!C86</f>
        <v>Can data for a region be kept in that region where local law requires it, for example for staff in Asia or Mexico?</v>
      </c>
      <c r="D84" s="10" t="s">
        <v>147</v>
      </c>
      <c r="E84" s="10" t="s">
        <v>606</v>
      </c>
      <c r="F84" s="10" t="s">
        <v>148</v>
      </c>
      <c r="G84" s="10" t="s">
        <v>624</v>
      </c>
      <c r="H84" s="10" t="s">
        <v>150</v>
      </c>
    </row>
    <row r="85" customFormat="false" ht="23.85" hidden="false" customHeight="false" outlineLevel="0" collapsed="false">
      <c r="A85" s="9" t="str">
        <f aca="false">Questionnaire!A87</f>
        <v>T3</v>
      </c>
      <c r="B85" s="9" t="str">
        <f aca="false">Questionnaire!B87</f>
        <v>Regional and transfers</v>
      </c>
      <c r="C85" s="10" t="str">
        <f aca="false">Questionnaire!C87</f>
        <v>Can the vendor meet local regulator information and audit requests for the bank's non-EU entities?</v>
      </c>
      <c r="D85" s="10" t="s">
        <v>667</v>
      </c>
      <c r="E85" s="10" t="s">
        <v>606</v>
      </c>
      <c r="F85" s="10" t="s">
        <v>122</v>
      </c>
      <c r="G85" s="10" t="s">
        <v>683</v>
      </c>
      <c r="H85" s="10" t="s">
        <v>150</v>
      </c>
    </row>
    <row r="86" customFormat="false" ht="23.85" hidden="false" customHeight="false" outlineLevel="0" collapsed="false">
      <c r="A86" s="9" t="str">
        <f aca="false">Questionnaire!A88</f>
        <v>U1</v>
      </c>
      <c r="B86" s="9" t="str">
        <f aca="false">Questionnaire!B88</f>
        <v>Insurance hand-off</v>
      </c>
      <c r="C86" s="10" t="str">
        <f aca="false">Questionnaire!C88</f>
        <v>Which data does the platform send to the group insurer, and how is its accuracy checked (for example matching name and date of birth)?</v>
      </c>
      <c r="D86" s="10" t="s">
        <v>45</v>
      </c>
      <c r="E86" s="10" t="s">
        <v>606</v>
      </c>
      <c r="F86" s="10" t="s">
        <v>684</v>
      </c>
      <c r="G86" s="10" t="s">
        <v>685</v>
      </c>
      <c r="H86" s="10"/>
    </row>
    <row r="87" customFormat="false" ht="23.85" hidden="false" customHeight="false" outlineLevel="0" collapsed="false">
      <c r="A87" s="9" t="str">
        <f aca="false">Questionnaire!A89</f>
        <v>U2</v>
      </c>
      <c r="B87" s="9" t="str">
        <f aca="false">Questionnaire!B89</f>
        <v>Insurance hand-off</v>
      </c>
      <c r="C87" s="10" t="str">
        <f aca="false">Questionnaire!C89</f>
        <v>How are assistance requests and any health information handled, stored and shared with the emergency assistance partner?</v>
      </c>
      <c r="D87" s="10" t="s">
        <v>45</v>
      </c>
      <c r="E87" s="10" t="s">
        <v>606</v>
      </c>
      <c r="F87" s="10" t="s">
        <v>686</v>
      </c>
      <c r="G87" s="10" t="s">
        <v>641</v>
      </c>
      <c r="H87" s="10"/>
    </row>
    <row r="88" customFormat="false" ht="23.85" hidden="false" customHeight="false" outlineLevel="0" collapsed="false">
      <c r="A88" s="9" t="str">
        <f aca="false">Questionnaire!A90</f>
        <v>U3</v>
      </c>
      <c r="B88" s="9" t="str">
        <f aca="false">Questionnaire!B90</f>
        <v>Insurance hand-off</v>
      </c>
      <c r="C88" s="10" t="str">
        <f aca="false">Questionnaire!C90</f>
        <v>What happens if the insurer interface fails during a trip, and who is alerted?</v>
      </c>
      <c r="D88" s="10" t="s">
        <v>687</v>
      </c>
      <c r="E88" s="10" t="s">
        <v>606</v>
      </c>
      <c r="F88" s="10" t="s">
        <v>122</v>
      </c>
      <c r="G88" s="10" t="s">
        <v>688</v>
      </c>
      <c r="H88" s="10"/>
    </row>
    <row r="89" customFormat="false" ht="35.05" hidden="false" customHeight="false" outlineLevel="0" collapsed="false">
      <c r="A89" s="9" t="str">
        <f aca="false">Questionnaire!A91</f>
        <v>W1</v>
      </c>
      <c r="B89" s="9" t="str">
        <f aca="false">Questionnaire!B91</f>
        <v>AI and automation</v>
      </c>
      <c r="C89" s="10" t="str">
        <f aca="false">Questionnaire!C91</f>
        <v>Does the platform use AI or automated decision features (for example chat assistants, recommendations or automated approvals), and which providers or models are used?</v>
      </c>
      <c r="D89" s="10" t="s">
        <v>268</v>
      </c>
      <c r="E89" s="10" t="s">
        <v>606</v>
      </c>
      <c r="F89" s="10" t="s">
        <v>167</v>
      </c>
      <c r="G89" s="10" t="s">
        <v>651</v>
      </c>
      <c r="H89" s="10" t="s">
        <v>271</v>
      </c>
    </row>
    <row r="90" customFormat="false" ht="23.85" hidden="false" customHeight="false" outlineLevel="0" collapsed="false">
      <c r="A90" s="9" t="str">
        <f aca="false">Questionnaire!A92</f>
        <v>W2</v>
      </c>
      <c r="B90" s="9" t="str">
        <f aca="false">Questionnaire!B92</f>
        <v>AI and automation</v>
      </c>
      <c r="C90" s="10" t="str">
        <f aca="false">Questionnaire!C92</f>
        <v>Is bank data used to train or improve models, by the vendor or any provider, and can this be switched off contractually?</v>
      </c>
      <c r="D90" s="10" t="s">
        <v>622</v>
      </c>
      <c r="E90" s="10" t="s">
        <v>606</v>
      </c>
      <c r="F90" s="10" t="s">
        <v>642</v>
      </c>
      <c r="G90" s="10" t="s">
        <v>689</v>
      </c>
      <c r="H90" s="10" t="s">
        <v>271</v>
      </c>
    </row>
    <row r="91" customFormat="false" ht="23.85" hidden="false" customHeight="false" outlineLevel="0" collapsed="false">
      <c r="A91" s="9" t="str">
        <f aca="false">Questionnaire!A93</f>
        <v>W3</v>
      </c>
      <c r="B91" s="9" t="str">
        <f aca="false">Questionnaire!B93</f>
        <v>AI and automation</v>
      </c>
      <c r="C91" s="10" t="str">
        <f aca="false">Questionnaire!C93</f>
        <v>How are AI outputs checked so that they cannot approve spend or change records without human control?</v>
      </c>
      <c r="D91" s="10" t="s">
        <v>45</v>
      </c>
      <c r="E91" s="10" t="s">
        <v>606</v>
      </c>
      <c r="F91" s="10" t="s">
        <v>690</v>
      </c>
      <c r="G91" s="10" t="s">
        <v>217</v>
      </c>
      <c r="H91" s="10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5" min="4" style="0" width="2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6" t="s">
        <v>691</v>
      </c>
    </row>
    <row r="2" customFormat="false" ht="15" hidden="false" customHeight="false" outlineLevel="0" collapsed="false">
      <c r="A2" s="7" t="s">
        <v>692</v>
      </c>
    </row>
    <row r="4" customFormat="false" ht="23.85" hidden="false" customHeight="false" outlineLevel="0" collapsed="false">
      <c r="A4" s="8" t="s">
        <v>693</v>
      </c>
      <c r="B4" s="8" t="s">
        <v>694</v>
      </c>
      <c r="C4" s="8" t="s">
        <v>695</v>
      </c>
      <c r="D4" s="8" t="s">
        <v>27</v>
      </c>
      <c r="E4" s="8" t="s">
        <v>34</v>
      </c>
      <c r="F4" s="8" t="s">
        <v>696</v>
      </c>
    </row>
    <row r="5" customFormat="false" ht="23.85" hidden="false" customHeight="false" outlineLevel="0" collapsed="false">
      <c r="A5" s="9" t="s">
        <v>631</v>
      </c>
      <c r="B5" s="9" t="s">
        <v>697</v>
      </c>
      <c r="C5" s="10" t="s">
        <v>698</v>
      </c>
      <c r="D5" s="10" t="s">
        <v>699</v>
      </c>
      <c r="E5" s="10" t="s">
        <v>700</v>
      </c>
      <c r="F5" s="10" t="s">
        <v>701</v>
      </c>
    </row>
    <row r="6" customFormat="false" ht="15" hidden="false" customHeight="false" outlineLevel="0" collapsed="false">
      <c r="A6" s="9" t="s">
        <v>702</v>
      </c>
      <c r="B6" s="9" t="s">
        <v>703</v>
      </c>
      <c r="C6" s="10" t="s">
        <v>698</v>
      </c>
      <c r="D6" s="10" t="s">
        <v>704</v>
      </c>
      <c r="E6" s="10" t="s">
        <v>705</v>
      </c>
      <c r="F6" s="10" t="s">
        <v>706</v>
      </c>
    </row>
    <row r="7" customFormat="false" ht="15" hidden="false" customHeight="false" outlineLevel="0" collapsed="false">
      <c r="A7" s="9" t="s">
        <v>707</v>
      </c>
      <c r="B7" s="9" t="s">
        <v>708</v>
      </c>
      <c r="C7" s="10" t="s">
        <v>698</v>
      </c>
      <c r="D7" s="10" t="s">
        <v>124</v>
      </c>
      <c r="E7" s="10" t="s">
        <v>302</v>
      </c>
      <c r="F7" s="10" t="s">
        <v>304</v>
      </c>
    </row>
    <row r="8" customFormat="false" ht="15" hidden="false" customHeight="false" outlineLevel="0" collapsed="false">
      <c r="A8" s="9" t="s">
        <v>709</v>
      </c>
      <c r="B8" s="9" t="s">
        <v>710</v>
      </c>
      <c r="C8" s="10" t="s">
        <v>698</v>
      </c>
      <c r="D8" s="10" t="s">
        <v>253</v>
      </c>
      <c r="E8" s="10" t="s">
        <v>362</v>
      </c>
      <c r="F8" s="10" t="s">
        <v>364</v>
      </c>
    </row>
    <row r="9" customFormat="false" ht="23.85" hidden="false" customHeight="false" outlineLevel="0" collapsed="false">
      <c r="A9" s="9" t="s">
        <v>682</v>
      </c>
      <c r="B9" s="9" t="s">
        <v>711</v>
      </c>
      <c r="C9" s="10" t="s">
        <v>698</v>
      </c>
      <c r="D9" s="10" t="s">
        <v>712</v>
      </c>
      <c r="E9" s="10" t="s">
        <v>713</v>
      </c>
      <c r="F9" s="10" t="s">
        <v>714</v>
      </c>
    </row>
    <row r="10" customFormat="false" ht="23.85" hidden="false" customHeight="false" outlineLevel="0" collapsed="false">
      <c r="A10" s="9" t="s">
        <v>715</v>
      </c>
      <c r="B10" s="9" t="s">
        <v>716</v>
      </c>
      <c r="C10" s="10" t="s">
        <v>698</v>
      </c>
      <c r="D10" s="10" t="s">
        <v>717</v>
      </c>
      <c r="E10" s="10" t="s">
        <v>718</v>
      </c>
      <c r="F10" s="10" t="s">
        <v>719</v>
      </c>
    </row>
    <row r="11" customFormat="false" ht="23.85" hidden="false" customHeight="false" outlineLevel="0" collapsed="false">
      <c r="A11" s="9" t="s">
        <v>68</v>
      </c>
      <c r="B11" s="9" t="s">
        <v>720</v>
      </c>
      <c r="C11" s="10" t="s">
        <v>698</v>
      </c>
      <c r="D11" s="10" t="s">
        <v>721</v>
      </c>
      <c r="E11" s="10" t="s">
        <v>722</v>
      </c>
      <c r="F11" s="10" t="s">
        <v>723</v>
      </c>
    </row>
    <row r="12" customFormat="false" ht="23.85" hidden="false" customHeight="false" outlineLevel="0" collapsed="false">
      <c r="A12" s="9" t="s">
        <v>618</v>
      </c>
      <c r="B12" s="9" t="s">
        <v>724</v>
      </c>
      <c r="C12" s="10" t="s">
        <v>698</v>
      </c>
      <c r="D12" s="10" t="s">
        <v>725</v>
      </c>
      <c r="E12" s="10" t="s">
        <v>726</v>
      </c>
      <c r="F12" s="10" t="s">
        <v>727</v>
      </c>
    </row>
    <row r="13" customFormat="false" ht="15" hidden="false" customHeight="false" outlineLevel="0" collapsed="false">
      <c r="A13" s="9" t="s">
        <v>728</v>
      </c>
      <c r="B13" s="9" t="s">
        <v>729</v>
      </c>
      <c r="C13" s="10" t="s">
        <v>698</v>
      </c>
      <c r="D13" s="10" t="s">
        <v>730</v>
      </c>
      <c r="E13" s="10" t="s">
        <v>731</v>
      </c>
      <c r="F13" s="10" t="s">
        <v>732</v>
      </c>
    </row>
    <row r="14" customFormat="false" ht="23.85" hidden="false" customHeight="false" outlineLevel="0" collapsed="false">
      <c r="A14" s="9" t="s">
        <v>245</v>
      </c>
      <c r="B14" s="9" t="s">
        <v>733</v>
      </c>
      <c r="C14" s="10" t="s">
        <v>698</v>
      </c>
      <c r="D14" s="10" t="s">
        <v>734</v>
      </c>
      <c r="E14" s="10" t="s">
        <v>735</v>
      </c>
      <c r="F14" s="10" t="s">
        <v>736</v>
      </c>
    </row>
    <row r="15" customFormat="false" ht="23.85" hidden="false" customHeight="false" outlineLevel="0" collapsed="false">
      <c r="A15" s="9" t="s">
        <v>737</v>
      </c>
      <c r="B15" s="9" t="s">
        <v>738</v>
      </c>
      <c r="C15" s="10" t="s">
        <v>698</v>
      </c>
      <c r="D15" s="10" t="s">
        <v>739</v>
      </c>
      <c r="E15" s="10" t="s">
        <v>740</v>
      </c>
      <c r="F15" s="10" t="s">
        <v>741</v>
      </c>
    </row>
    <row r="16" customFormat="false" ht="23.85" hidden="false" customHeight="false" outlineLevel="0" collapsed="false">
      <c r="A16" s="9" t="s">
        <v>653</v>
      </c>
      <c r="B16" s="9" t="s">
        <v>742</v>
      </c>
      <c r="C16" s="10" t="s">
        <v>698</v>
      </c>
      <c r="D16" s="10" t="s">
        <v>743</v>
      </c>
      <c r="E16" s="10" t="s">
        <v>744</v>
      </c>
      <c r="F16" s="10" t="s">
        <v>745</v>
      </c>
    </row>
    <row r="17" customFormat="false" ht="23.85" hidden="false" customHeight="false" outlineLevel="0" collapsed="false">
      <c r="A17" s="9" t="s">
        <v>665</v>
      </c>
      <c r="B17" s="9" t="s">
        <v>746</v>
      </c>
      <c r="C17" s="10" t="s">
        <v>698</v>
      </c>
      <c r="D17" s="10" t="s">
        <v>747</v>
      </c>
      <c r="E17" s="10" t="s">
        <v>748</v>
      </c>
      <c r="F17" s="10" t="s">
        <v>749</v>
      </c>
    </row>
    <row r="18" customFormat="false" ht="23.85" hidden="false" customHeight="false" outlineLevel="0" collapsed="false">
      <c r="A18" s="9" t="s">
        <v>750</v>
      </c>
      <c r="B18" s="9" t="s">
        <v>751</v>
      </c>
      <c r="C18" s="10" t="s">
        <v>698</v>
      </c>
      <c r="D18" s="10" t="s">
        <v>228</v>
      </c>
      <c r="E18" s="10" t="s">
        <v>491</v>
      </c>
      <c r="F18" s="10" t="s">
        <v>493</v>
      </c>
    </row>
    <row r="19" customFormat="false" ht="15" hidden="false" customHeight="false" outlineLevel="0" collapsed="false">
      <c r="A19" s="9" t="s">
        <v>752</v>
      </c>
      <c r="B19" s="9" t="s">
        <v>753</v>
      </c>
      <c r="C19" s="10" t="s">
        <v>698</v>
      </c>
      <c r="D19" s="10" t="s">
        <v>507</v>
      </c>
      <c r="E19" s="10" t="s">
        <v>754</v>
      </c>
      <c r="F19" s="10" t="s">
        <v>755</v>
      </c>
    </row>
    <row r="20" customFormat="false" ht="15" hidden="false" customHeight="false" outlineLevel="0" collapsed="false">
      <c r="A20" s="9" t="s">
        <v>688</v>
      </c>
      <c r="B20" s="9" t="s">
        <v>756</v>
      </c>
      <c r="C20" s="10" t="s">
        <v>698</v>
      </c>
      <c r="D20" s="10" t="s">
        <v>757</v>
      </c>
      <c r="E20" s="10" t="s">
        <v>758</v>
      </c>
      <c r="F20" s="10" t="s">
        <v>759</v>
      </c>
    </row>
    <row r="21" customFormat="false" ht="15" hidden="false" customHeight="false" outlineLevel="0" collapsed="false">
      <c r="A21" s="9" t="s">
        <v>683</v>
      </c>
      <c r="B21" s="9" t="s">
        <v>760</v>
      </c>
      <c r="C21" s="10" t="s">
        <v>698</v>
      </c>
      <c r="D21" s="10" t="s">
        <v>141</v>
      </c>
      <c r="E21" s="10" t="s">
        <v>576</v>
      </c>
      <c r="F21" s="10" t="s">
        <v>578</v>
      </c>
    </row>
    <row r="22" customFormat="false" ht="23.85" hidden="false" customHeight="false" outlineLevel="0" collapsed="false">
      <c r="A22" s="9" t="s">
        <v>624</v>
      </c>
      <c r="B22" s="9" t="s">
        <v>761</v>
      </c>
      <c r="C22" s="10" t="s">
        <v>698</v>
      </c>
      <c r="D22" s="10" t="s">
        <v>762</v>
      </c>
      <c r="E22" s="10" t="s">
        <v>763</v>
      </c>
      <c r="F22" s="10" t="s">
        <v>764</v>
      </c>
    </row>
    <row r="23" customFormat="false" ht="15" hidden="false" customHeight="false" outlineLevel="0" collapsed="false">
      <c r="A23" s="9" t="s">
        <v>765</v>
      </c>
      <c r="B23" s="9" t="s">
        <v>766</v>
      </c>
      <c r="C23" s="10" t="s">
        <v>767</v>
      </c>
      <c r="D23" s="10" t="s">
        <v>237</v>
      </c>
      <c r="E23" s="10" t="s">
        <v>512</v>
      </c>
      <c r="F23" s="10" t="s">
        <v>502</v>
      </c>
    </row>
    <row r="24" customFormat="false" ht="23.85" hidden="false" customHeight="false" outlineLevel="0" collapsed="false">
      <c r="A24" s="9" t="s">
        <v>768</v>
      </c>
      <c r="B24" s="9" t="s">
        <v>769</v>
      </c>
      <c r="C24" s="10" t="s">
        <v>767</v>
      </c>
      <c r="D24" s="10" t="s">
        <v>94</v>
      </c>
      <c r="E24" s="10" t="s">
        <v>326</v>
      </c>
      <c r="F24" s="10" t="s">
        <v>328</v>
      </c>
    </row>
    <row r="25" customFormat="false" ht="15" hidden="false" customHeight="false" outlineLevel="0" collapsed="false">
      <c r="A25" s="9" t="s">
        <v>770</v>
      </c>
      <c r="B25" s="9" t="s">
        <v>771</v>
      </c>
      <c r="C25" s="10" t="s">
        <v>772</v>
      </c>
      <c r="D25" s="10" t="s">
        <v>87</v>
      </c>
      <c r="E25" s="10" t="s">
        <v>318</v>
      </c>
      <c r="F25" s="10" t="s">
        <v>320</v>
      </c>
    </row>
    <row r="26" customFormat="false" ht="15" hidden="false" customHeight="false" outlineLevel="0" collapsed="false">
      <c r="A26" s="9" t="s">
        <v>773</v>
      </c>
      <c r="B26" s="9" t="s">
        <v>774</v>
      </c>
      <c r="C26" s="10" t="s">
        <v>772</v>
      </c>
      <c r="D26" s="10" t="s">
        <v>101</v>
      </c>
      <c r="E26" s="10" t="s">
        <v>106</v>
      </c>
      <c r="F26" s="10" t="s">
        <v>775</v>
      </c>
    </row>
    <row r="27" customFormat="false" ht="23.85" hidden="false" customHeight="false" outlineLevel="0" collapsed="false">
      <c r="A27" s="9" t="s">
        <v>678</v>
      </c>
      <c r="B27" s="9" t="s">
        <v>776</v>
      </c>
      <c r="C27" s="10" t="s">
        <v>772</v>
      </c>
      <c r="D27" s="10" t="s">
        <v>777</v>
      </c>
      <c r="E27" s="10" t="s">
        <v>778</v>
      </c>
      <c r="F27" s="10" t="s">
        <v>779</v>
      </c>
    </row>
    <row r="28" customFormat="false" ht="23.85" hidden="false" customHeight="false" outlineLevel="0" collapsed="false">
      <c r="A28" s="9" t="s">
        <v>614</v>
      </c>
      <c r="B28" s="9" t="s">
        <v>780</v>
      </c>
      <c r="C28" s="10" t="s">
        <v>772</v>
      </c>
      <c r="D28" s="10" t="s">
        <v>781</v>
      </c>
      <c r="E28" s="10" t="s">
        <v>782</v>
      </c>
      <c r="F28" s="10" t="s">
        <v>783</v>
      </c>
    </row>
    <row r="29" customFormat="false" ht="23.85" hidden="false" customHeight="false" outlineLevel="0" collapsed="false">
      <c r="A29" s="9" t="s">
        <v>658</v>
      </c>
      <c r="B29" s="9" t="s">
        <v>784</v>
      </c>
      <c r="C29" s="10" t="s">
        <v>772</v>
      </c>
      <c r="D29" s="10" t="s">
        <v>785</v>
      </c>
      <c r="E29" s="10" t="s">
        <v>786</v>
      </c>
      <c r="F29" s="10" t="s">
        <v>787</v>
      </c>
    </row>
    <row r="30" customFormat="false" ht="23.85" hidden="false" customHeight="false" outlineLevel="0" collapsed="false">
      <c r="A30" s="9" t="s">
        <v>640</v>
      </c>
      <c r="B30" s="9" t="s">
        <v>788</v>
      </c>
      <c r="C30" s="10" t="s">
        <v>772</v>
      </c>
      <c r="D30" s="10" t="s">
        <v>789</v>
      </c>
      <c r="E30" s="10" t="s">
        <v>790</v>
      </c>
      <c r="F30" s="10" t="s">
        <v>791</v>
      </c>
    </row>
    <row r="31" customFormat="false" ht="23.85" hidden="false" customHeight="false" outlineLevel="0" collapsed="false">
      <c r="A31" s="9" t="s">
        <v>792</v>
      </c>
      <c r="B31" s="9" t="s">
        <v>793</v>
      </c>
      <c r="C31" s="10" t="s">
        <v>772</v>
      </c>
      <c r="D31" s="10" t="s">
        <v>794</v>
      </c>
      <c r="E31" s="10" t="s">
        <v>795</v>
      </c>
      <c r="F31" s="10" t="s">
        <v>796</v>
      </c>
    </row>
    <row r="32" customFormat="false" ht="15" hidden="false" customHeight="false" outlineLevel="0" collapsed="false">
      <c r="A32" s="9" t="s">
        <v>797</v>
      </c>
      <c r="B32" s="9" t="s">
        <v>798</v>
      </c>
      <c r="C32" s="10" t="s">
        <v>772</v>
      </c>
      <c r="D32" s="10" t="s">
        <v>228</v>
      </c>
      <c r="E32" s="10" t="s">
        <v>487</v>
      </c>
      <c r="F32" s="10" t="s">
        <v>490</v>
      </c>
    </row>
    <row r="33" customFormat="false" ht="15" hidden="false" customHeight="false" outlineLevel="0" collapsed="false">
      <c r="A33" s="9" t="s">
        <v>799</v>
      </c>
      <c r="B33" s="9" t="s">
        <v>800</v>
      </c>
      <c r="C33" s="10" t="s">
        <v>772</v>
      </c>
      <c r="D33" s="10" t="s">
        <v>228</v>
      </c>
      <c r="E33" s="10" t="s">
        <v>487</v>
      </c>
      <c r="F33" s="10" t="s">
        <v>490</v>
      </c>
    </row>
    <row r="34" customFormat="false" ht="23.85" hidden="false" customHeight="false" outlineLevel="0" collapsed="false">
      <c r="A34" s="9" t="s">
        <v>647</v>
      </c>
      <c r="B34" s="9" t="s">
        <v>801</v>
      </c>
      <c r="C34" s="10" t="s">
        <v>772</v>
      </c>
      <c r="D34" s="10" t="s">
        <v>802</v>
      </c>
      <c r="E34" s="10" t="s">
        <v>803</v>
      </c>
      <c r="F34" s="10" t="s">
        <v>804</v>
      </c>
    </row>
    <row r="35" customFormat="false" ht="23.85" hidden="false" customHeight="false" outlineLevel="0" collapsed="false">
      <c r="A35" s="9" t="s">
        <v>628</v>
      </c>
      <c r="B35" s="9" t="s">
        <v>805</v>
      </c>
      <c r="C35" s="10" t="s">
        <v>772</v>
      </c>
      <c r="D35" s="10" t="s">
        <v>151</v>
      </c>
      <c r="E35" s="10" t="s">
        <v>806</v>
      </c>
      <c r="F35" s="10" t="s">
        <v>807</v>
      </c>
    </row>
    <row r="36" customFormat="false" ht="23.85" hidden="false" customHeight="false" outlineLevel="0" collapsed="false">
      <c r="A36" s="9" t="s">
        <v>808</v>
      </c>
      <c r="B36" s="9" t="s">
        <v>809</v>
      </c>
      <c r="C36" s="10" t="s">
        <v>772</v>
      </c>
      <c r="D36" s="10" t="s">
        <v>810</v>
      </c>
      <c r="E36" s="10" t="s">
        <v>811</v>
      </c>
      <c r="F36" s="10" t="s">
        <v>812</v>
      </c>
    </row>
    <row r="37" customFormat="false" ht="23.85" hidden="false" customHeight="false" outlineLevel="0" collapsed="false">
      <c r="A37" s="9" t="s">
        <v>813</v>
      </c>
      <c r="B37" s="9" t="s">
        <v>814</v>
      </c>
      <c r="C37" s="10" t="s">
        <v>772</v>
      </c>
      <c r="D37" s="10" t="s">
        <v>815</v>
      </c>
      <c r="E37" s="10" t="s">
        <v>816</v>
      </c>
      <c r="F37" s="10" t="s">
        <v>817</v>
      </c>
    </row>
    <row r="38" customFormat="false" ht="23.85" hidden="false" customHeight="false" outlineLevel="0" collapsed="false">
      <c r="A38" s="9" t="s">
        <v>140</v>
      </c>
      <c r="B38" s="9" t="s">
        <v>818</v>
      </c>
      <c r="C38" s="10" t="s">
        <v>772</v>
      </c>
      <c r="D38" s="10" t="s">
        <v>819</v>
      </c>
      <c r="E38" s="10" t="s">
        <v>820</v>
      </c>
      <c r="F38" s="10" t="s">
        <v>821</v>
      </c>
    </row>
    <row r="39" customFormat="false" ht="23.85" hidden="false" customHeight="false" outlineLevel="0" collapsed="false">
      <c r="A39" s="9" t="s">
        <v>630</v>
      </c>
      <c r="B39" s="9" t="s">
        <v>822</v>
      </c>
      <c r="C39" s="10" t="s">
        <v>772</v>
      </c>
      <c r="D39" s="10" t="s">
        <v>823</v>
      </c>
      <c r="E39" s="10" t="s">
        <v>824</v>
      </c>
      <c r="F39" s="10" t="s">
        <v>825</v>
      </c>
    </row>
    <row r="40" customFormat="false" ht="15" hidden="false" customHeight="false" outlineLevel="0" collapsed="false">
      <c r="A40" s="9" t="s">
        <v>826</v>
      </c>
      <c r="B40" s="9" t="s">
        <v>827</v>
      </c>
      <c r="C40" s="10" t="s">
        <v>772</v>
      </c>
      <c r="D40" s="10" t="s">
        <v>218</v>
      </c>
      <c r="E40" s="10" t="s">
        <v>481</v>
      </c>
      <c r="F40" s="10" t="s">
        <v>483</v>
      </c>
    </row>
    <row r="41" customFormat="false" ht="23.85" hidden="false" customHeight="false" outlineLevel="0" collapsed="false">
      <c r="A41" s="9" t="s">
        <v>828</v>
      </c>
      <c r="B41" s="9" t="s">
        <v>829</v>
      </c>
      <c r="C41" s="10" t="s">
        <v>772</v>
      </c>
      <c r="D41" s="10" t="s">
        <v>124</v>
      </c>
      <c r="E41" s="10" t="s">
        <v>435</v>
      </c>
      <c r="F41" s="10" t="s">
        <v>437</v>
      </c>
    </row>
    <row r="42" customFormat="false" ht="23.85" hidden="false" customHeight="false" outlineLevel="0" collapsed="false">
      <c r="A42" s="9" t="s">
        <v>629</v>
      </c>
      <c r="B42" s="9" t="s">
        <v>830</v>
      </c>
      <c r="C42" s="10" t="s">
        <v>772</v>
      </c>
      <c r="D42" s="10" t="s">
        <v>831</v>
      </c>
      <c r="E42" s="10" t="s">
        <v>832</v>
      </c>
      <c r="F42" s="10" t="s">
        <v>833</v>
      </c>
    </row>
    <row r="43" customFormat="false" ht="15" hidden="false" customHeight="false" outlineLevel="0" collapsed="false">
      <c r="A43" s="9" t="s">
        <v>834</v>
      </c>
      <c r="B43" s="9" t="s">
        <v>835</v>
      </c>
      <c r="C43" s="10" t="s">
        <v>772</v>
      </c>
      <c r="D43" s="10" t="s">
        <v>836</v>
      </c>
      <c r="E43" s="10" t="s">
        <v>837</v>
      </c>
      <c r="F43" s="10" t="s">
        <v>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6" t="s">
        <v>839</v>
      </c>
    </row>
    <row r="2" customFormat="false" ht="15" hidden="false" customHeight="false" outlineLevel="0" collapsed="false">
      <c r="A2" s="7" t="s">
        <v>840</v>
      </c>
    </row>
    <row r="4" customFormat="false" ht="15" hidden="false" customHeight="false" outlineLevel="0" collapsed="false">
      <c r="A4" s="8" t="s">
        <v>280</v>
      </c>
      <c r="B4" s="8" t="s">
        <v>34</v>
      </c>
      <c r="C4" s="8" t="s">
        <v>294</v>
      </c>
      <c r="D4" s="8" t="s">
        <v>841</v>
      </c>
      <c r="E4" s="8" t="s">
        <v>842</v>
      </c>
      <c r="F4" s="8" t="s">
        <v>843</v>
      </c>
      <c r="G4" s="8" t="s">
        <v>844</v>
      </c>
      <c r="H4" s="8" t="s">
        <v>845</v>
      </c>
    </row>
    <row r="5" customFormat="false" ht="15" hidden="false" customHeight="false" outlineLevel="0" collapsed="false">
      <c r="A5" s="15" t="s">
        <v>297</v>
      </c>
      <c r="B5" s="15" t="n">
        <f aca="false">COUNTIF(Questionnaire!$B$7:$B$93,$A5)</f>
        <v>3</v>
      </c>
      <c r="C5" s="15" t="n">
        <f aca="false">COUNTIFS(Questionnaire!$B$7:$B$93,$A5,Questionnaire!$I$7:$I$93,"Satisfactory")</f>
        <v>0</v>
      </c>
      <c r="D5" s="15" t="n">
        <f aca="false">COUNTIFS(Questionnaire!$B$7:$B$93,$A5,Questionnaire!$I$7:$I$93,"Partial")</f>
        <v>0</v>
      </c>
      <c r="E5" s="15" t="n">
        <f aca="false">COUNTIFS(Questionnaire!$B$7:$B$93,$A5,Questionnaire!$I$7:$I$93,"Gap")</f>
        <v>0</v>
      </c>
      <c r="F5" s="15" t="n">
        <f aca="false">COUNTIFS(Questionnaire!$B$7:$B$93,$A5,Questionnaire!$I$7:$I$93,"Not applicable")</f>
        <v>0</v>
      </c>
      <c r="G5" s="15" t="n">
        <f aca="false">B5-SUM(C5:F5)</f>
        <v>3</v>
      </c>
      <c r="H5" s="15" t="n">
        <f aca="false">COUNTIFS(Questionnaire!$B$7:$B$93,$A5,Questionnaire!$H$7:$H$93,"Accepted")</f>
        <v>0</v>
      </c>
    </row>
    <row r="6" customFormat="false" ht="15" hidden="false" customHeight="false" outlineLevel="0" collapsed="false">
      <c r="A6" s="15" t="s">
        <v>288</v>
      </c>
      <c r="B6" s="15" t="n">
        <f aca="false">COUNTIF(Questionnaire!$B$7:$B$93,$A6)</f>
        <v>4</v>
      </c>
      <c r="C6" s="15" t="n">
        <f aca="false">COUNTIFS(Questionnaire!$B$7:$B$93,$A6,Questionnaire!$I$7:$I$93,"Satisfactory")</f>
        <v>0</v>
      </c>
      <c r="D6" s="15" t="n">
        <f aca="false">COUNTIFS(Questionnaire!$B$7:$B$93,$A6,Questionnaire!$I$7:$I$93,"Partial")</f>
        <v>0</v>
      </c>
      <c r="E6" s="15" t="n">
        <f aca="false">COUNTIFS(Questionnaire!$B$7:$B$93,$A6,Questionnaire!$I$7:$I$93,"Gap")</f>
        <v>0</v>
      </c>
      <c r="F6" s="15" t="n">
        <f aca="false">COUNTIFS(Questionnaire!$B$7:$B$93,$A6,Questionnaire!$I$7:$I$93,"Not applicable")</f>
        <v>0</v>
      </c>
      <c r="G6" s="15" t="n">
        <f aca="false">B6-SUM(C6:F6)</f>
        <v>4</v>
      </c>
      <c r="H6" s="15" t="n">
        <f aca="false">COUNTIFS(Questionnaire!$B$7:$B$93,$A6,Questionnaire!$H$7:$H$93,"Accepted")</f>
        <v>0</v>
      </c>
    </row>
    <row r="7" customFormat="false" ht="15" hidden="false" customHeight="false" outlineLevel="0" collapsed="false">
      <c r="A7" s="15" t="s">
        <v>322</v>
      </c>
      <c r="B7" s="15" t="n">
        <f aca="false">COUNTIF(Questionnaire!$B$7:$B$93,$A7)</f>
        <v>5</v>
      </c>
      <c r="C7" s="15" t="n">
        <f aca="false">COUNTIFS(Questionnaire!$B$7:$B$93,$A7,Questionnaire!$I$7:$I$93,"Satisfactory")</f>
        <v>0</v>
      </c>
      <c r="D7" s="15" t="n">
        <f aca="false">COUNTIFS(Questionnaire!$B$7:$B$93,$A7,Questionnaire!$I$7:$I$93,"Partial")</f>
        <v>0</v>
      </c>
      <c r="E7" s="15" t="n">
        <f aca="false">COUNTIFS(Questionnaire!$B$7:$B$93,$A7,Questionnaire!$I$7:$I$93,"Gap")</f>
        <v>0</v>
      </c>
      <c r="F7" s="15" t="n">
        <f aca="false">COUNTIFS(Questionnaire!$B$7:$B$93,$A7,Questionnaire!$I$7:$I$93,"Not applicable")</f>
        <v>0</v>
      </c>
      <c r="G7" s="15" t="n">
        <f aca="false">B7-SUM(C7:F7)</f>
        <v>5</v>
      </c>
      <c r="H7" s="15" t="n">
        <f aca="false">COUNTIFS(Questionnaire!$B$7:$B$93,$A7,Questionnaire!$H$7:$H$93,"Accepted")</f>
        <v>0</v>
      </c>
    </row>
    <row r="8" customFormat="false" ht="15" hidden="false" customHeight="false" outlineLevel="0" collapsed="false">
      <c r="A8" s="15" t="s">
        <v>340</v>
      </c>
      <c r="B8" s="15" t="n">
        <f aca="false">COUNTIF(Questionnaire!$B$7:$B$93,$A8)</f>
        <v>5</v>
      </c>
      <c r="C8" s="15" t="n">
        <f aca="false">COUNTIFS(Questionnaire!$B$7:$B$93,$A8,Questionnaire!$I$7:$I$93,"Satisfactory")</f>
        <v>0</v>
      </c>
      <c r="D8" s="15" t="n">
        <f aca="false">COUNTIFS(Questionnaire!$B$7:$B$93,$A8,Questionnaire!$I$7:$I$93,"Partial")</f>
        <v>0</v>
      </c>
      <c r="E8" s="15" t="n">
        <f aca="false">COUNTIFS(Questionnaire!$B$7:$B$93,$A8,Questionnaire!$I$7:$I$93,"Gap")</f>
        <v>0</v>
      </c>
      <c r="F8" s="15" t="n">
        <f aca="false">COUNTIFS(Questionnaire!$B$7:$B$93,$A8,Questionnaire!$I$7:$I$93,"Not applicable")</f>
        <v>0</v>
      </c>
      <c r="G8" s="15" t="n">
        <f aca="false">B8-SUM(C8:F8)</f>
        <v>5</v>
      </c>
      <c r="H8" s="15" t="n">
        <f aca="false">COUNTIFS(Questionnaire!$B$7:$B$93,$A8,Questionnaire!$H$7:$H$93,"Accepted")</f>
        <v>0</v>
      </c>
    </row>
    <row r="9" customFormat="false" ht="15" hidden="false" customHeight="false" outlineLevel="0" collapsed="false">
      <c r="A9" s="15" t="s">
        <v>357</v>
      </c>
      <c r="B9" s="15" t="n">
        <f aca="false">COUNTIF(Questionnaire!$B$7:$B$93,$A9)</f>
        <v>4</v>
      </c>
      <c r="C9" s="15" t="n">
        <f aca="false">COUNTIFS(Questionnaire!$B$7:$B$93,$A9,Questionnaire!$I$7:$I$93,"Satisfactory")</f>
        <v>0</v>
      </c>
      <c r="D9" s="15" t="n">
        <f aca="false">COUNTIFS(Questionnaire!$B$7:$B$93,$A9,Questionnaire!$I$7:$I$93,"Partial")</f>
        <v>0</v>
      </c>
      <c r="E9" s="15" t="n">
        <f aca="false">COUNTIFS(Questionnaire!$B$7:$B$93,$A9,Questionnaire!$I$7:$I$93,"Gap")</f>
        <v>0</v>
      </c>
      <c r="F9" s="15" t="n">
        <f aca="false">COUNTIFS(Questionnaire!$B$7:$B$93,$A9,Questionnaire!$I$7:$I$93,"Not applicable")</f>
        <v>0</v>
      </c>
      <c r="G9" s="15" t="n">
        <f aca="false">B9-SUM(C9:F9)</f>
        <v>4</v>
      </c>
      <c r="H9" s="15" t="n">
        <f aca="false">COUNTIFS(Questionnaire!$B$7:$B$93,$A9,Questionnaire!$H$7:$H$93,"Accepted")</f>
        <v>0</v>
      </c>
    </row>
    <row r="10" customFormat="false" ht="15" hidden="false" customHeight="false" outlineLevel="0" collapsed="false">
      <c r="A10" s="15" t="s">
        <v>373</v>
      </c>
      <c r="B10" s="15" t="n">
        <f aca="false">COUNTIF(Questionnaire!$B$7:$B$93,$A10)</f>
        <v>4</v>
      </c>
      <c r="C10" s="15" t="n">
        <f aca="false">COUNTIFS(Questionnaire!$B$7:$B$93,$A10,Questionnaire!$I$7:$I$93,"Satisfactory")</f>
        <v>0</v>
      </c>
      <c r="D10" s="15" t="n">
        <f aca="false">COUNTIFS(Questionnaire!$B$7:$B$93,$A10,Questionnaire!$I$7:$I$93,"Partial")</f>
        <v>0</v>
      </c>
      <c r="E10" s="15" t="n">
        <f aca="false">COUNTIFS(Questionnaire!$B$7:$B$93,$A10,Questionnaire!$I$7:$I$93,"Gap")</f>
        <v>0</v>
      </c>
      <c r="F10" s="15" t="n">
        <f aca="false">COUNTIFS(Questionnaire!$B$7:$B$93,$A10,Questionnaire!$I$7:$I$93,"Not applicable")</f>
        <v>0</v>
      </c>
      <c r="G10" s="15" t="n">
        <f aca="false">B10-SUM(C10:F10)</f>
        <v>4</v>
      </c>
      <c r="H10" s="15" t="n">
        <f aca="false">COUNTIFS(Questionnaire!$B$7:$B$93,$A10,Questionnaire!$H$7:$H$93,"Accepted")</f>
        <v>0</v>
      </c>
    </row>
    <row r="11" customFormat="false" ht="15" hidden="false" customHeight="false" outlineLevel="0" collapsed="false">
      <c r="A11" s="15" t="s">
        <v>388</v>
      </c>
      <c r="B11" s="15" t="n">
        <f aca="false">COUNTIF(Questionnaire!$B$7:$B$93,$A11)</f>
        <v>5</v>
      </c>
      <c r="C11" s="15" t="n">
        <f aca="false">COUNTIFS(Questionnaire!$B$7:$B$93,$A11,Questionnaire!$I$7:$I$93,"Satisfactory")</f>
        <v>0</v>
      </c>
      <c r="D11" s="15" t="n">
        <f aca="false">COUNTIFS(Questionnaire!$B$7:$B$93,$A11,Questionnaire!$I$7:$I$93,"Partial")</f>
        <v>0</v>
      </c>
      <c r="E11" s="15" t="n">
        <f aca="false">COUNTIFS(Questionnaire!$B$7:$B$93,$A11,Questionnaire!$I$7:$I$93,"Gap")</f>
        <v>0</v>
      </c>
      <c r="F11" s="15" t="n">
        <f aca="false">COUNTIFS(Questionnaire!$B$7:$B$93,$A11,Questionnaire!$I$7:$I$93,"Not applicable")</f>
        <v>0</v>
      </c>
      <c r="G11" s="15" t="n">
        <f aca="false">B11-SUM(C11:F11)</f>
        <v>5</v>
      </c>
      <c r="H11" s="15" t="n">
        <f aca="false">COUNTIFS(Questionnaire!$B$7:$B$93,$A11,Questionnaire!$H$7:$H$93,"Accepted")</f>
        <v>0</v>
      </c>
    </row>
    <row r="12" customFormat="false" ht="15" hidden="false" customHeight="false" outlineLevel="0" collapsed="false">
      <c r="A12" s="15" t="s">
        <v>407</v>
      </c>
      <c r="B12" s="15" t="n">
        <f aca="false">COUNTIF(Questionnaire!$B$7:$B$93,$A12)</f>
        <v>3</v>
      </c>
      <c r="C12" s="15" t="n">
        <f aca="false">COUNTIFS(Questionnaire!$B$7:$B$93,$A12,Questionnaire!$I$7:$I$93,"Satisfactory")</f>
        <v>0</v>
      </c>
      <c r="D12" s="15" t="n">
        <f aca="false">COUNTIFS(Questionnaire!$B$7:$B$93,$A12,Questionnaire!$I$7:$I$93,"Partial")</f>
        <v>0</v>
      </c>
      <c r="E12" s="15" t="n">
        <f aca="false">COUNTIFS(Questionnaire!$B$7:$B$93,$A12,Questionnaire!$I$7:$I$93,"Gap")</f>
        <v>0</v>
      </c>
      <c r="F12" s="15" t="n">
        <f aca="false">COUNTIFS(Questionnaire!$B$7:$B$93,$A12,Questionnaire!$I$7:$I$93,"Not applicable")</f>
        <v>0</v>
      </c>
      <c r="G12" s="15" t="n">
        <f aca="false">B12-SUM(C12:F12)</f>
        <v>3</v>
      </c>
      <c r="H12" s="15" t="n">
        <f aca="false">COUNTIFS(Questionnaire!$B$7:$B$93,$A12,Questionnaire!$H$7:$H$93,"Accepted")</f>
        <v>0</v>
      </c>
    </row>
    <row r="13" customFormat="false" ht="15" hidden="false" customHeight="false" outlineLevel="0" collapsed="false">
      <c r="A13" s="15" t="s">
        <v>419</v>
      </c>
      <c r="B13" s="15" t="n">
        <f aca="false">COUNTIF(Questionnaire!$B$7:$B$93,$A13)</f>
        <v>8</v>
      </c>
      <c r="C13" s="15" t="n">
        <f aca="false">COUNTIFS(Questionnaire!$B$7:$B$93,$A13,Questionnaire!$I$7:$I$93,"Satisfactory")</f>
        <v>0</v>
      </c>
      <c r="D13" s="15" t="n">
        <f aca="false">COUNTIFS(Questionnaire!$B$7:$B$93,$A13,Questionnaire!$I$7:$I$93,"Partial")</f>
        <v>0</v>
      </c>
      <c r="E13" s="15" t="n">
        <f aca="false">COUNTIFS(Questionnaire!$B$7:$B$93,$A13,Questionnaire!$I$7:$I$93,"Gap")</f>
        <v>0</v>
      </c>
      <c r="F13" s="15" t="n">
        <f aca="false">COUNTIFS(Questionnaire!$B$7:$B$93,$A13,Questionnaire!$I$7:$I$93,"Not applicable")</f>
        <v>0</v>
      </c>
      <c r="G13" s="15" t="n">
        <f aca="false">B13-SUM(C13:F13)</f>
        <v>8</v>
      </c>
      <c r="H13" s="15" t="n">
        <f aca="false">COUNTIFS(Questionnaire!$B$7:$B$93,$A13,Questionnaire!$H$7:$H$93,"Accepted")</f>
        <v>0</v>
      </c>
    </row>
    <row r="14" customFormat="false" ht="15" hidden="false" customHeight="false" outlineLevel="0" collapsed="false">
      <c r="A14" s="15" t="s">
        <v>152</v>
      </c>
      <c r="B14" s="15" t="n">
        <f aca="false">COUNTIF(Questionnaire!$B$7:$B$93,$A14)</f>
        <v>3</v>
      </c>
      <c r="C14" s="15" t="n">
        <f aca="false">COUNTIFS(Questionnaire!$B$7:$B$93,$A14,Questionnaire!$I$7:$I$93,"Satisfactory")</f>
        <v>0</v>
      </c>
      <c r="D14" s="15" t="n">
        <f aca="false">COUNTIFS(Questionnaire!$B$7:$B$93,$A14,Questionnaire!$I$7:$I$93,"Partial")</f>
        <v>0</v>
      </c>
      <c r="E14" s="15" t="n">
        <f aca="false">COUNTIFS(Questionnaire!$B$7:$B$93,$A14,Questionnaire!$I$7:$I$93,"Gap")</f>
        <v>0</v>
      </c>
      <c r="F14" s="15" t="n">
        <f aca="false">COUNTIFS(Questionnaire!$B$7:$B$93,$A14,Questionnaire!$I$7:$I$93,"Not applicable")</f>
        <v>0</v>
      </c>
      <c r="G14" s="15" t="n">
        <f aca="false">B14-SUM(C14:F14)</f>
        <v>3</v>
      </c>
      <c r="H14" s="15" t="n">
        <f aca="false">COUNTIFS(Questionnaire!$B$7:$B$93,$A14,Questionnaire!$H$7:$H$93,"Accepted")</f>
        <v>0</v>
      </c>
    </row>
    <row r="15" customFormat="false" ht="15" hidden="false" customHeight="false" outlineLevel="0" collapsed="false">
      <c r="A15" s="15" t="s">
        <v>458</v>
      </c>
      <c r="B15" s="15" t="n">
        <f aca="false">COUNTIF(Questionnaire!$B$7:$B$93,$A15)</f>
        <v>5</v>
      </c>
      <c r="C15" s="15" t="n">
        <f aca="false">COUNTIFS(Questionnaire!$B$7:$B$93,$A15,Questionnaire!$I$7:$I$93,"Satisfactory")</f>
        <v>0</v>
      </c>
      <c r="D15" s="15" t="n">
        <f aca="false">COUNTIFS(Questionnaire!$B$7:$B$93,$A15,Questionnaire!$I$7:$I$93,"Partial")</f>
        <v>0</v>
      </c>
      <c r="E15" s="15" t="n">
        <f aca="false">COUNTIFS(Questionnaire!$B$7:$B$93,$A15,Questionnaire!$I$7:$I$93,"Gap")</f>
        <v>0</v>
      </c>
      <c r="F15" s="15" t="n">
        <f aca="false">COUNTIFS(Questionnaire!$B$7:$B$93,$A15,Questionnaire!$I$7:$I$93,"Not applicable")</f>
        <v>0</v>
      </c>
      <c r="G15" s="15" t="n">
        <f aca="false">B15-SUM(C15:F15)</f>
        <v>5</v>
      </c>
      <c r="H15" s="15" t="n">
        <f aca="false">COUNTIFS(Questionnaire!$B$7:$B$93,$A15,Questionnaire!$H$7:$H$93,"Accepted")</f>
        <v>0</v>
      </c>
    </row>
    <row r="16" customFormat="false" ht="15" hidden="false" customHeight="false" outlineLevel="0" collapsed="false">
      <c r="A16" s="15" t="s">
        <v>478</v>
      </c>
      <c r="B16" s="15" t="n">
        <f aca="false">COUNTIF(Questionnaire!$B$7:$B$93,$A16)</f>
        <v>3</v>
      </c>
      <c r="C16" s="15" t="n">
        <f aca="false">COUNTIFS(Questionnaire!$B$7:$B$93,$A16,Questionnaire!$I$7:$I$93,"Satisfactory")</f>
        <v>0</v>
      </c>
      <c r="D16" s="15" t="n">
        <f aca="false">COUNTIFS(Questionnaire!$B$7:$B$93,$A16,Questionnaire!$I$7:$I$93,"Partial")</f>
        <v>0</v>
      </c>
      <c r="E16" s="15" t="n">
        <f aca="false">COUNTIFS(Questionnaire!$B$7:$B$93,$A16,Questionnaire!$I$7:$I$93,"Gap")</f>
        <v>0</v>
      </c>
      <c r="F16" s="15" t="n">
        <f aca="false">COUNTIFS(Questionnaire!$B$7:$B$93,$A16,Questionnaire!$I$7:$I$93,"Not applicable")</f>
        <v>0</v>
      </c>
      <c r="G16" s="15" t="n">
        <f aca="false">B16-SUM(C16:F16)</f>
        <v>3</v>
      </c>
      <c r="H16" s="15" t="n">
        <f aca="false">COUNTIFS(Questionnaire!$B$7:$B$93,$A16,Questionnaire!$H$7:$H$93,"Accepted")</f>
        <v>0</v>
      </c>
    </row>
    <row r="17" customFormat="false" ht="15" hidden="false" customHeight="false" outlineLevel="0" collapsed="false">
      <c r="A17" s="15" t="s">
        <v>488</v>
      </c>
      <c r="B17" s="15" t="n">
        <f aca="false">COUNTIF(Questionnaire!$B$7:$B$93,$A17)</f>
        <v>3</v>
      </c>
      <c r="C17" s="15" t="n">
        <f aca="false">COUNTIFS(Questionnaire!$B$7:$B$93,$A17,Questionnaire!$I$7:$I$93,"Satisfactory")</f>
        <v>0</v>
      </c>
      <c r="D17" s="15" t="n">
        <f aca="false">COUNTIFS(Questionnaire!$B$7:$B$93,$A17,Questionnaire!$I$7:$I$93,"Partial")</f>
        <v>0</v>
      </c>
      <c r="E17" s="15" t="n">
        <f aca="false">COUNTIFS(Questionnaire!$B$7:$B$93,$A17,Questionnaire!$I$7:$I$93,"Gap")</f>
        <v>0</v>
      </c>
      <c r="F17" s="15" t="n">
        <f aca="false">COUNTIFS(Questionnaire!$B$7:$B$93,$A17,Questionnaire!$I$7:$I$93,"Not applicable")</f>
        <v>0</v>
      </c>
      <c r="G17" s="15" t="n">
        <f aca="false">B17-SUM(C17:F17)</f>
        <v>3</v>
      </c>
      <c r="H17" s="15" t="n">
        <f aca="false">COUNTIFS(Questionnaire!$B$7:$B$93,$A17,Questionnaire!$H$7:$H$93,"Accepted")</f>
        <v>0</v>
      </c>
    </row>
    <row r="18" customFormat="false" ht="15" hidden="false" customHeight="false" outlineLevel="0" collapsed="false">
      <c r="A18" s="15" t="s">
        <v>238</v>
      </c>
      <c r="B18" s="15" t="n">
        <f aca="false">COUNTIF(Questionnaire!$B$7:$B$93,$A18)</f>
        <v>7</v>
      </c>
      <c r="C18" s="15" t="n">
        <f aca="false">COUNTIFS(Questionnaire!$B$7:$B$93,$A18,Questionnaire!$I$7:$I$93,"Satisfactory")</f>
        <v>0</v>
      </c>
      <c r="D18" s="15" t="n">
        <f aca="false">COUNTIFS(Questionnaire!$B$7:$B$93,$A18,Questionnaire!$I$7:$I$93,"Partial")</f>
        <v>0</v>
      </c>
      <c r="E18" s="15" t="n">
        <f aca="false">COUNTIFS(Questionnaire!$B$7:$B$93,$A18,Questionnaire!$I$7:$I$93,"Gap")</f>
        <v>0</v>
      </c>
      <c r="F18" s="15" t="n">
        <f aca="false">COUNTIFS(Questionnaire!$B$7:$B$93,$A18,Questionnaire!$I$7:$I$93,"Not applicable")</f>
        <v>0</v>
      </c>
      <c r="G18" s="15" t="n">
        <f aca="false">B18-SUM(C18:F18)</f>
        <v>7</v>
      </c>
      <c r="H18" s="15" t="n">
        <f aca="false">COUNTIFS(Questionnaire!$B$7:$B$93,$A18,Questionnaire!$H$7:$H$93,"Accepted")</f>
        <v>0</v>
      </c>
    </row>
    <row r="19" customFormat="false" ht="15" hidden="false" customHeight="false" outlineLevel="0" collapsed="false">
      <c r="A19" s="15" t="s">
        <v>517</v>
      </c>
      <c r="B19" s="15" t="n">
        <f aca="false">COUNTIF(Questionnaire!$B$7:$B$93,$A19)</f>
        <v>7</v>
      </c>
      <c r="C19" s="15" t="n">
        <f aca="false">COUNTIFS(Questionnaire!$B$7:$B$93,$A19,Questionnaire!$I$7:$I$93,"Satisfactory")</f>
        <v>0</v>
      </c>
      <c r="D19" s="15" t="n">
        <f aca="false">COUNTIFS(Questionnaire!$B$7:$B$93,$A19,Questionnaire!$I$7:$I$93,"Partial")</f>
        <v>0</v>
      </c>
      <c r="E19" s="15" t="n">
        <f aca="false">COUNTIFS(Questionnaire!$B$7:$B$93,$A19,Questionnaire!$I$7:$I$93,"Gap")</f>
        <v>0</v>
      </c>
      <c r="F19" s="15" t="n">
        <f aca="false">COUNTIFS(Questionnaire!$B$7:$B$93,$A19,Questionnaire!$I$7:$I$93,"Not applicable")</f>
        <v>0</v>
      </c>
      <c r="G19" s="15" t="n">
        <f aca="false">B19-SUM(C19:F19)</f>
        <v>7</v>
      </c>
      <c r="H19" s="15" t="n">
        <f aca="false">COUNTIFS(Questionnaire!$B$7:$B$93,$A19,Questionnaire!$H$7:$H$93,"Accepted")</f>
        <v>0</v>
      </c>
    </row>
    <row r="20" customFormat="false" ht="15" hidden="false" customHeight="false" outlineLevel="0" collapsed="false">
      <c r="A20" s="15" t="s">
        <v>196</v>
      </c>
      <c r="B20" s="15" t="n">
        <f aca="false">COUNTIF(Questionnaire!$B$7:$B$93,$A20)</f>
        <v>4</v>
      </c>
      <c r="C20" s="15" t="n">
        <f aca="false">COUNTIFS(Questionnaire!$B$7:$B$93,$A20,Questionnaire!$I$7:$I$93,"Satisfactory")</f>
        <v>0</v>
      </c>
      <c r="D20" s="15" t="n">
        <f aca="false">COUNTIFS(Questionnaire!$B$7:$B$93,$A20,Questionnaire!$I$7:$I$93,"Partial")</f>
        <v>0</v>
      </c>
      <c r="E20" s="15" t="n">
        <f aca="false">COUNTIFS(Questionnaire!$B$7:$B$93,$A20,Questionnaire!$I$7:$I$93,"Gap")</f>
        <v>0</v>
      </c>
      <c r="F20" s="15" t="n">
        <f aca="false">COUNTIFS(Questionnaire!$B$7:$B$93,$A20,Questionnaire!$I$7:$I$93,"Not applicable")</f>
        <v>0</v>
      </c>
      <c r="G20" s="15" t="n">
        <f aca="false">B20-SUM(C20:F20)</f>
        <v>4</v>
      </c>
      <c r="H20" s="15" t="n">
        <f aca="false">COUNTIFS(Questionnaire!$B$7:$B$93,$A20,Questionnaire!$H$7:$H$93,"Accepted")</f>
        <v>0</v>
      </c>
    </row>
    <row r="21" customFormat="false" ht="15" hidden="false" customHeight="false" outlineLevel="0" collapsed="false">
      <c r="A21" s="15" t="s">
        <v>552</v>
      </c>
      <c r="B21" s="15" t="n">
        <f aca="false">COUNTIF(Questionnaire!$B$7:$B$93,$A21)</f>
        <v>5</v>
      </c>
      <c r="C21" s="15" t="n">
        <f aca="false">COUNTIFS(Questionnaire!$B$7:$B$93,$A21,Questionnaire!$I$7:$I$93,"Satisfactory")</f>
        <v>0</v>
      </c>
      <c r="D21" s="15" t="n">
        <f aca="false">COUNTIFS(Questionnaire!$B$7:$B$93,$A21,Questionnaire!$I$7:$I$93,"Partial")</f>
        <v>0</v>
      </c>
      <c r="E21" s="15" t="n">
        <f aca="false">COUNTIFS(Questionnaire!$B$7:$B$93,$A21,Questionnaire!$I$7:$I$93,"Gap")</f>
        <v>0</v>
      </c>
      <c r="F21" s="15" t="n">
        <f aca="false">COUNTIFS(Questionnaire!$B$7:$B$93,$A21,Questionnaire!$I$7:$I$93,"Not applicable")</f>
        <v>0</v>
      </c>
      <c r="G21" s="15" t="n">
        <f aca="false">B21-SUM(C21:F21)</f>
        <v>5</v>
      </c>
      <c r="H21" s="15" t="n">
        <f aca="false">COUNTIFS(Questionnaire!$B$7:$B$93,$A21,Questionnaire!$H$7:$H$93,"Accepted")</f>
        <v>0</v>
      </c>
    </row>
    <row r="22" customFormat="false" ht="15" hidden="false" customHeight="false" outlineLevel="0" collapsed="false">
      <c r="A22" s="15" t="s">
        <v>570</v>
      </c>
      <c r="B22" s="15" t="n">
        <f aca="false">COUNTIF(Questionnaire!$B$7:$B$93,$A22)</f>
        <v>3</v>
      </c>
      <c r="C22" s="15" t="n">
        <f aca="false">COUNTIFS(Questionnaire!$B$7:$B$93,$A22,Questionnaire!$I$7:$I$93,"Satisfactory")</f>
        <v>0</v>
      </c>
      <c r="D22" s="15" t="n">
        <f aca="false">COUNTIFS(Questionnaire!$B$7:$B$93,$A22,Questionnaire!$I$7:$I$93,"Partial")</f>
        <v>0</v>
      </c>
      <c r="E22" s="15" t="n">
        <f aca="false">COUNTIFS(Questionnaire!$B$7:$B$93,$A22,Questionnaire!$I$7:$I$93,"Gap")</f>
        <v>0</v>
      </c>
      <c r="F22" s="15" t="n">
        <f aca="false">COUNTIFS(Questionnaire!$B$7:$B$93,$A22,Questionnaire!$I$7:$I$93,"Not applicable")</f>
        <v>0</v>
      </c>
      <c r="G22" s="15" t="n">
        <f aca="false">B22-SUM(C22:F22)</f>
        <v>3</v>
      </c>
      <c r="H22" s="15" t="n">
        <f aca="false">COUNTIFS(Questionnaire!$B$7:$B$93,$A22,Questionnaire!$H$7:$H$93,"Accepted")</f>
        <v>0</v>
      </c>
    </row>
    <row r="23" customFormat="false" ht="15" hidden="false" customHeight="false" outlineLevel="0" collapsed="false">
      <c r="A23" s="15" t="s">
        <v>580</v>
      </c>
      <c r="B23" s="15" t="n">
        <f aca="false">COUNTIF(Questionnaire!$B$7:$B$93,$A23)</f>
        <v>3</v>
      </c>
      <c r="C23" s="15" t="n">
        <f aca="false">COUNTIFS(Questionnaire!$B$7:$B$93,$A23,Questionnaire!$I$7:$I$93,"Satisfactory")</f>
        <v>0</v>
      </c>
      <c r="D23" s="15" t="n">
        <f aca="false">COUNTIFS(Questionnaire!$B$7:$B$93,$A23,Questionnaire!$I$7:$I$93,"Partial")</f>
        <v>0</v>
      </c>
      <c r="E23" s="15" t="n">
        <f aca="false">COUNTIFS(Questionnaire!$B$7:$B$93,$A23,Questionnaire!$I$7:$I$93,"Gap")</f>
        <v>0</v>
      </c>
      <c r="F23" s="15" t="n">
        <f aca="false">COUNTIFS(Questionnaire!$B$7:$B$93,$A23,Questionnaire!$I$7:$I$93,"Not applicable")</f>
        <v>0</v>
      </c>
      <c r="G23" s="15" t="n">
        <f aca="false">B23-SUM(C23:F23)</f>
        <v>3</v>
      </c>
      <c r="H23" s="15" t="n">
        <f aca="false">COUNTIFS(Questionnaire!$B$7:$B$93,$A23,Questionnaire!$H$7:$H$93,"Accepted")</f>
        <v>0</v>
      </c>
    </row>
    <row r="24" customFormat="false" ht="15" hidden="false" customHeight="false" outlineLevel="0" collapsed="false">
      <c r="A24" s="15" t="s">
        <v>263</v>
      </c>
      <c r="B24" s="15" t="n">
        <f aca="false">COUNTIF(Questionnaire!$B$7:$B$93,$A24)</f>
        <v>3</v>
      </c>
      <c r="C24" s="15" t="n">
        <f aca="false">COUNTIFS(Questionnaire!$B$7:$B$93,$A24,Questionnaire!$I$7:$I$93,"Satisfactory")</f>
        <v>0</v>
      </c>
      <c r="D24" s="15" t="n">
        <f aca="false">COUNTIFS(Questionnaire!$B$7:$B$93,$A24,Questionnaire!$I$7:$I$93,"Partial")</f>
        <v>0</v>
      </c>
      <c r="E24" s="15" t="n">
        <f aca="false">COUNTIFS(Questionnaire!$B$7:$B$93,$A24,Questionnaire!$I$7:$I$93,"Gap")</f>
        <v>0</v>
      </c>
      <c r="F24" s="15" t="n">
        <f aca="false">COUNTIFS(Questionnaire!$B$7:$B$93,$A24,Questionnaire!$I$7:$I$93,"Not applicable")</f>
        <v>0</v>
      </c>
      <c r="G24" s="15" t="n">
        <f aca="false">B24-SUM(C24:F24)</f>
        <v>3</v>
      </c>
      <c r="H24" s="15" t="n">
        <f aca="false">COUNTIFS(Questionnaire!$B$7:$B$93,$A24,Questionnaire!$H$7:$H$93,"Accepted")</f>
        <v>0</v>
      </c>
    </row>
    <row r="25" customFormat="false" ht="15" hidden="false" customHeight="false" outlineLevel="0" collapsed="false">
      <c r="A25" s="16" t="s">
        <v>846</v>
      </c>
      <c r="B25" s="16" t="n">
        <f aca="false">SUM(B5:B24)</f>
        <v>87</v>
      </c>
      <c r="C25" s="16" t="n">
        <f aca="false">SUM(C5:C24)</f>
        <v>0</v>
      </c>
      <c r="D25" s="16" t="n">
        <f aca="false">SUM(D5:D24)</f>
        <v>0</v>
      </c>
      <c r="E25" s="16" t="n">
        <f aca="false">SUM(E5:E24)</f>
        <v>0</v>
      </c>
      <c r="F25" s="16" t="n">
        <f aca="false">SUM(F5:F24)</f>
        <v>0</v>
      </c>
      <c r="G25" s="16" t="n">
        <f aca="false">SUM(G5:G24)</f>
        <v>87</v>
      </c>
      <c r="H25" s="16" t="n">
        <f aca="false">SUM(H5:H24)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2026-10-04T10:06:39Z</dcterms:created>
  <dc:creator>TPRM learning project</dc:creator>
  <dc:description/>
  <dc:language>en-US</dc:language>
  <cp:lastModifiedBy/>
  <dcterms:modified xsi:type="dcterms:W3CDTF">2026-10-04T10:06:40Z</dcterms:modified>
  <cp:revision>0</cp:revision>
  <dc:subject/>
  <dc:title>Vendor questionnaire and control map (fictional case study)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