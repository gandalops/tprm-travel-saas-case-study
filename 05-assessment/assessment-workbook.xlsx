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ummary" sheetId="2" state="visible" r:id="rId4"/>
    <sheet name="Findings" sheetId="3" state="visible" r:id="rId5"/>
    <sheet name="Risk register" sheetId="4" state="visible" r:id="rId6"/>
    <sheet name="Remediation plan" sheetId="5" state="visible" r:id="rId7"/>
    <sheet name="Monitoring" sheetId="6" state="visible" r:id="rId8"/>
    <sheet name="Evidence log" sheetId="7" state="visible" r:id="rId9"/>
    <sheet name="Control requirements" sheetId="8" state="visible" r:id="rId10"/>
    <sheet name="Questionnaire" sheetId="9" state="visible" r:id="rId11"/>
    <sheet name="Regulatory map" sheetId="10" state="visible" r:id="rId12"/>
    <sheet name="ISO 27001 view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<sst xmlns="http://schemas.openxmlformats.org/spreadsheetml/2006/main" count="2729" uniqueCount="1488">
  <si>
    <t xml:space="preserve">Assessment workbook (Stage 5, simulated)</t>
  </si>
  <si>
    <t xml:space="preserve">Case study</t>
  </si>
  <si>
    <t xml:space="preserve">Fictional learning project. Example Bank and Vendor X are placeholders. Not based on any real organisation, vendor or assessment.</t>
  </si>
  <si>
    <t xml:space="preserve">Purpose</t>
  </si>
  <si>
    <t xml:space="preserve">Stage 4 of the case study. It links each question to a control requirement, to the data flows in the architecture, and to DORA, GDPR and ISO 27001.</t>
  </si>
  <si>
    <t xml:space="preserve">Chain</t>
  </si>
  <si>
    <t xml:space="preserve">Flow or observation, then risk, then control requirement (CR), then framework reference, then question, then (Stage 5) vendor answer, finding and decision.</t>
  </si>
  <si>
    <t xml:space="preserve">Sheets</t>
  </si>
  <si>
    <t xml:space="preserve">Stage 4 sheets with simulated answers filled in, plus: Evidence log, Findings, Risk register, Remediation plan and Monitoring. Summary shows the results by domain, findings by severity and risks by band.</t>
  </si>
  <si>
    <t xml:space="preserve">Cells to edit</t>
  </si>
  <si>
    <t xml:space="preserve">Yellow cells only: vendor details, and the response, evidence status, rating and notes columns on the Questionnaire sheet.</t>
  </si>
  <si>
    <t xml:space="preserve">Example row</t>
  </si>
  <si>
    <t xml:space="preserve">Row 6 (ID EX) shows the expected format and is not counted in the Summary.</t>
  </si>
  <si>
    <t xml:space="preserve">Flow IDs</t>
  </si>
  <si>
    <t xml:space="preserve">FS, FA, F3 to F12, FG, FN, FL, FH and FV refer to the data-flow table in Stage 3. All means every flow.</t>
  </si>
  <si>
    <t xml:space="preserve">Tier</t>
  </si>
  <si>
    <t xml:space="preserve">The service is Tier 1, so every question applies. Questions marked Deeper in the Regulatory map need full depth because the service supports a critical or important function.</t>
  </si>
  <si>
    <t xml:space="preserve">Evidence strength</t>
  </si>
  <si>
    <t xml:space="preserve">Strong: independent report, or system export or test dated within 90 days. Medium: dated screenshot, or policy with a small sample of records. Weak: policy only, vendor statement, or undated material.</t>
  </si>
  <si>
    <t xml:space="preserve">Assessor rating</t>
  </si>
  <si>
    <t xml:space="preserve">Satisfactory: control described and supported by strong evidence (or medium for lower-risk controls). Partial: described but evidence is weak or coverage incomplete. Gap: absent or contradicted. Not applicable: does not apply.</t>
  </si>
  <si>
    <t xml:space="preserve">ID note</t>
  </si>
  <si>
    <t xml:space="preserve">Question IDs are a domain letter plus a number (for example H1). In the traceability matrix they carry the prefix Q-, because D, F, R and S are also used for data, factors, regulations and scope.</t>
  </si>
  <si>
    <t xml:space="preserve">Regulatory references</t>
  </si>
  <si>
    <t xml:space="preserve">Article-level and indicative. Verify against the official texts. Not legal advice.</t>
  </si>
  <si>
    <t xml:space="preserve">Simulated</t>
  </si>
  <si>
    <t xml:space="preserve">All vendor answers, evidence and dates are invented for the case study. 64 priority questions are answered. The remaining questions are not yet assessed (lower priority).</t>
  </si>
  <si>
    <t xml:space="preserve">Stage 5 rules</t>
  </si>
  <si>
    <t xml:space="preserve">Any High finding must be closed and verified before go-live, or the service is not approved. A missing mandatory contract term for a critical service counts as High. Medium findings need a dated plan. Low findings are tracked.</t>
  </si>
  <si>
    <t xml:space="preserve">Input cell</t>
  </si>
  <si>
    <t xml:space="preserve">Yellow fill: fill this in.</t>
  </si>
  <si>
    <t xml:space="preserve">Assessment summary</t>
  </si>
  <si>
    <t xml:space="preserve">Counts update from the Questionnaire sheet (example row excluded).</t>
  </si>
  <si>
    <t xml:space="preserve">Domain</t>
  </si>
  <si>
    <t xml:space="preserve">Questions</t>
  </si>
  <si>
    <t xml:space="preserve">Satisfactory</t>
  </si>
  <si>
    <t xml:space="preserve">Partial</t>
  </si>
  <si>
    <t xml:space="preserve">Gap</t>
  </si>
  <si>
    <t xml:space="preserve">Not applicable</t>
  </si>
  <si>
    <t xml:space="preserve">Not yet rated</t>
  </si>
  <si>
    <t xml:space="preserve">Evidence accepted</t>
  </si>
  <si>
    <t xml:space="preserve">Scope and service model</t>
  </si>
  <si>
    <t xml:space="preserve">Identity and sign-on</t>
  </si>
  <si>
    <t xml:space="preserve">Provisioning and leavers</t>
  </si>
  <si>
    <t xml:space="preserve">Administration and access</t>
  </si>
  <si>
    <t xml:space="preserve">HR data sync</t>
  </si>
  <si>
    <t xml:space="preserve">Approvals and policy</t>
  </si>
  <si>
    <t xml:space="preserve">Financial sync</t>
  </si>
  <si>
    <t xml:space="preserve">Network and gateway</t>
  </si>
  <si>
    <t xml:space="preserve">Data protection</t>
  </si>
  <si>
    <t xml:space="preserve">Logging and monitoring</t>
  </si>
  <si>
    <t xml:space="preserve">Subprocessors</t>
  </si>
  <si>
    <t xml:space="preserve">Assurance</t>
  </si>
  <si>
    <t xml:space="preserve">Resilience and exit</t>
  </si>
  <si>
    <t xml:space="preserve">Contract terms</t>
  </si>
  <si>
    <t xml:space="preserve">Connector and credentials</t>
  </si>
  <si>
    <t xml:space="preserve">Virtual cards</t>
  </si>
  <si>
    <t xml:space="preserve">Allowance, gifts and loyalty</t>
  </si>
  <si>
    <t xml:space="preserve">Regional and transfers</t>
  </si>
  <si>
    <t xml:space="preserve">Insurance hand-off</t>
  </si>
  <si>
    <t xml:space="preserve">AI and automation</t>
  </si>
  <si>
    <t xml:space="preserve">Total</t>
  </si>
  <si>
    <t xml:space="preserve">Findings by severity</t>
  </si>
  <si>
    <t xml:space="preserve">High</t>
  </si>
  <si>
    <t xml:space="preserve">Medium</t>
  </si>
  <si>
    <t xml:space="preserve">Low</t>
  </si>
  <si>
    <t xml:space="preserve">Risks by band</t>
  </si>
  <si>
    <t xml:space="preserve">Band</t>
  </si>
  <si>
    <t xml:space="preserve">Inherent</t>
  </si>
  <si>
    <t xml:space="preserve">Current</t>
  </si>
  <si>
    <t xml:space="preserve">Target</t>
  </si>
  <si>
    <t xml:space="preserve">Very high</t>
  </si>
  <si>
    <t xml:space="preserve">Findings (gap register)</t>
  </si>
  <si>
    <t xml:space="preserve">High: could expose bulk personal data, allow fraudulent payment, give unauthorised access into the bank, or leave a mandatory contract term for a critical service unmet. Medium: weakens a control, but another compensates. Low: minor.</t>
  </si>
  <si>
    <t xml:space="preserve">Finding ID</t>
  </si>
  <si>
    <t xml:space="preserve">Finding</t>
  </si>
  <si>
    <t xml:space="preserve">Severity</t>
  </si>
  <si>
    <t xml:space="preserve">Control requirements</t>
  </si>
  <si>
    <t xml:space="preserve">Risk</t>
  </si>
  <si>
    <t xml:space="preserve">Source</t>
  </si>
  <si>
    <t xml:space="preserve">Evidence</t>
  </si>
  <si>
    <t xml:space="preserve">What we found</t>
  </si>
  <si>
    <t xml:space="preserve">What is required</t>
  </si>
  <si>
    <t xml:space="preserve">Remediation</t>
  </si>
  <si>
    <t xml:space="preserve">Status</t>
  </si>
  <si>
    <t xml:space="preserve">FND-01</t>
  </si>
  <si>
    <t xml:space="preserve">Wide standing access to connector credentials</t>
  </si>
  <si>
    <t xml:space="preserve">O3, E3</t>
  </si>
  <si>
    <t xml:space="preserve">CR-03</t>
  </si>
  <si>
    <t xml:space="preserve">RR-01</t>
  </si>
  <si>
    <t xml:space="preserve">X2, V7</t>
  </si>
  <si>
    <t xml:space="preserve">EV-06</t>
  </si>
  <si>
    <t xml:space="preserve">11 vendor staff can read the bank's connector secrets, and break-glass access has no approval step.</t>
  </si>
  <si>
    <t xml:space="preserve">Named roles only, just-in-time approval, access logged and reviewed.</t>
  </si>
  <si>
    <t xml:space="preserve">REM-01</t>
  </si>
  <si>
    <t xml:space="preserve">Open</t>
  </si>
  <si>
    <t xml:space="preserve">FND-02</t>
  </si>
  <si>
    <t xml:space="preserve">Connector credentials rotated only once a year</t>
  </si>
  <si>
    <t xml:space="preserve">O4</t>
  </si>
  <si>
    <t xml:space="preserve">CR-04</t>
  </si>
  <si>
    <t xml:space="preserve">Rotation is annual and manual. Revocation takes up to 2 business days.</t>
  </si>
  <si>
    <t xml:space="preserve">Rotation at least every 90 days (proposed default) and revocation by the bank within hours.</t>
  </si>
  <si>
    <t xml:space="preserve">REM-02</t>
  </si>
  <si>
    <t xml:space="preserve">FND-03</t>
  </si>
  <si>
    <t xml:space="preserve">Standing support access from India with no transfer assessment</t>
  </si>
  <si>
    <t xml:space="preserve">D2, D4, I2, T1</t>
  </si>
  <si>
    <t xml:space="preserve">CR-09, CR-14</t>
  </si>
  <si>
    <t xml:space="preserve">RR-02</t>
  </si>
  <si>
    <t xml:space="preserve">X5, V6, V8</t>
  </si>
  <si>
    <t xml:space="preserve">EV-09, EV-10</t>
  </si>
  <si>
    <t xml:space="preserve">22 India-based staff have standing read access to production data. There is no region restriction and no transfer impact assessment.</t>
  </si>
  <si>
    <t xml:space="preserve">Just-in-time, case-by-case access, masked data for offshore staff, and a transfer assessment.</t>
  </si>
  <si>
    <t xml:space="preserve">REM-03</t>
  </si>
  <si>
    <t xml:space="preserve">FND-04</t>
  </si>
  <si>
    <t xml:space="preserve">Undisclosed AI model provider with US hosting</t>
  </si>
  <si>
    <t xml:space="preserve">W1, W2, K1, A3</t>
  </si>
  <si>
    <t xml:space="preserve">CR-28, CR-16</t>
  </si>
  <si>
    <t xml:space="preserve">RR-03</t>
  </si>
  <si>
    <t xml:space="preserve">V13, X7</t>
  </si>
  <si>
    <t xml:space="preserve">EV-10, EV-11</t>
  </si>
  <si>
    <t xml:space="preserve">The chat assistant uses a third-party model provider in the US that is not in the fourth-party list. The provider keeps prompts for 30 days.</t>
  </si>
  <si>
    <t xml:space="preserve">Disclose and contract the provider, keep personal data out of prompts, confirm retention, and let the bank switch the feature off.</t>
  </si>
  <si>
    <t xml:space="preserve">REM-04</t>
  </si>
  <si>
    <t xml:space="preserve">FND-05</t>
  </si>
  <si>
    <t xml:space="preserve">Audit and inspection rights too limited</t>
  </si>
  <si>
    <t xml:space="preserve">N7</t>
  </si>
  <si>
    <t xml:space="preserve">CR-25</t>
  </si>
  <si>
    <t xml:space="preserve">RR-11</t>
  </si>
  <si>
    <t xml:space="preserve">R1</t>
  </si>
  <si>
    <t xml:space="preserve">EV-12</t>
  </si>
  <si>
    <t xml:space="preserve">One remote audit a year. On-site audit needs 60 days' notice and reasonable cause.</t>
  </si>
  <si>
    <t xml:space="preserve">Unrestricted access, inspection and audit rights for the bank and its authorities (DORA Art 30(3)(e)). High under the Stage 5 rule on mandatory contract terms.</t>
  </si>
  <si>
    <t xml:space="preserve">REM-05</t>
  </si>
  <si>
    <t xml:space="preserve">FND-06</t>
  </si>
  <si>
    <t xml:space="preserve">Vendor's own PCI DSS attestation missing</t>
  </si>
  <si>
    <t xml:space="preserve">P1, P4</t>
  </si>
  <si>
    <t xml:space="preserve">CR-20</t>
  </si>
  <si>
    <t xml:space="preserve">RR-06</t>
  </si>
  <si>
    <t xml:space="preserve">V3, X11</t>
  </si>
  <si>
    <t xml:space="preserve">EV-04</t>
  </si>
  <si>
    <t xml:space="preserve">Attestation provided for Card Provider Y only. The vendor's own is due Q1 2027. Card reconciliation is manual.</t>
  </si>
  <si>
    <t xml:space="preserve">Attestation covering the vendor's role, or written proof that it is out of scope because it holds tokens only.</t>
  </si>
  <si>
    <t xml:space="preserve">REM-06</t>
  </si>
  <si>
    <t xml:space="preserve">FND-07</t>
  </si>
  <si>
    <t xml:space="preserve">No four-eyes control on the allowance rate table</t>
  </si>
  <si>
    <t xml:space="preserve">Q1, D3</t>
  </si>
  <si>
    <t xml:space="preserve">CR-18</t>
  </si>
  <si>
    <t xml:space="preserve">RR-05</t>
  </si>
  <si>
    <t xml:space="preserve">X9</t>
  </si>
  <si>
    <t xml:space="preserve">EV-15</t>
  </si>
  <si>
    <t xml:space="preserve">One Finance admin can change and save rates. Changes are logged but not approved.</t>
  </si>
  <si>
    <t xml:space="preserve">Second approval for rate changes, a finance-only role and an alert on change.</t>
  </si>
  <si>
    <t xml:space="preserve">REM-07</t>
  </si>
  <si>
    <t xml:space="preserve">FND-08</t>
  </si>
  <si>
    <t xml:space="preserve">Assurance reports are outdated or narrow</t>
  </si>
  <si>
    <t xml:space="preserve">L1</t>
  </si>
  <si>
    <t xml:space="preserve">CR-23</t>
  </si>
  <si>
    <t xml:space="preserve">RR-12</t>
  </si>
  <si>
    <t xml:space="preserve">V1, V2</t>
  </si>
  <si>
    <t xml:space="preserve">EV-01, EV-02</t>
  </si>
  <si>
    <t xml:space="preserve">SOC 2 period ended Dec 2025 with no bridge letter. SOC 2 excludes visa, gifts and card modules. ISO scope excludes the India support site.</t>
  </si>
  <si>
    <t xml:space="preserve">A bridge letter and a scope covering every module and site used by the bank.</t>
  </si>
  <si>
    <t xml:space="preserve">REM-08</t>
  </si>
  <si>
    <t xml:space="preserve">FND-09</t>
  </si>
  <si>
    <t xml:space="preserve">No mutual TLS on bank-facing connections</t>
  </si>
  <si>
    <t xml:space="preserve">O2</t>
  </si>
  <si>
    <t xml:space="preserve">CR-02</t>
  </si>
  <si>
    <t xml:space="preserve">X1, V7</t>
  </si>
  <si>
    <t xml:space="preserve">EV-08</t>
  </si>
  <si>
    <t xml:space="preserve">Mutual TLS is not supported. 15-minute tokens and IP allow-listing compensate.</t>
  </si>
  <si>
    <t xml:space="preserve">Mutual TLS, or the compensating controls accepted with Bank IT security sign-off.</t>
  </si>
  <si>
    <t xml:space="preserve">REM-09</t>
  </si>
  <si>
    <t xml:space="preserve">FND-10</t>
  </si>
  <si>
    <t xml:space="preserve">Recovery targets not proven</t>
  </si>
  <si>
    <t xml:space="preserve">M1</t>
  </si>
  <si>
    <t xml:space="preserve">CR-24</t>
  </si>
  <si>
    <t xml:space="preserve">RR-07</t>
  </si>
  <si>
    <t xml:space="preserve">V5</t>
  </si>
  <si>
    <t xml:space="preserve">EV-13</t>
  </si>
  <si>
    <t xml:space="preserve">The 2025 failover took 6 hours against a 4-hour target. No 2026 test.</t>
  </si>
  <si>
    <t xml:space="preserve">A test that meets the target, repeated yearly.</t>
  </si>
  <si>
    <t xml:space="preserve">REM-10</t>
  </si>
  <si>
    <t xml:space="preserve">FND-11</t>
  </si>
  <si>
    <t xml:space="preserve">Guest data kept 24 months without deletion</t>
  </si>
  <si>
    <t xml:space="preserve">I7</t>
  </si>
  <si>
    <t xml:space="preserve">CR-12, CR-21</t>
  </si>
  <si>
    <t xml:space="preserve">RR-09</t>
  </si>
  <si>
    <t xml:space="preserve">X10</t>
  </si>
  <si>
    <t xml:space="preserve">EV-17</t>
  </si>
  <si>
    <t xml:space="preserve">Guest data is kept for 24 months with no automatic deletion.</t>
  </si>
  <si>
    <t xml:space="preserve">Automatic deletion shortly after the trip (90 days proposed).</t>
  </si>
  <si>
    <t xml:space="preserve">REM-11</t>
  </si>
  <si>
    <t xml:space="preserve">FND-12</t>
  </si>
  <si>
    <t xml:space="preserve">Weak fourth-party notice, deletion and role classification</t>
  </si>
  <si>
    <t xml:space="preserve">K3, K4, K5</t>
  </si>
  <si>
    <t xml:space="preserve">CR-16</t>
  </si>
  <si>
    <t xml:space="preserve">RR-10</t>
  </si>
  <si>
    <t xml:space="preserve">X7, X12, V9</t>
  </si>
  <si>
    <t xml:space="preserve">EV-10, EV-12</t>
  </si>
  <si>
    <t xml:space="preserve">Only material changes are announced and there is no right to object to others. The visa agency keeps documents for 12 months. Airlines and the insurer are shown as processors.</t>
  </si>
  <si>
    <t xml:space="preserve">Notice and a right to object for every change, shorter retention at suppliers, and corrected roles.</t>
  </si>
  <si>
    <t xml:space="preserve">REM-12</t>
  </si>
  <si>
    <t xml:space="preserve">FND-13</t>
  </si>
  <si>
    <t xml:space="preserve">Free text not redacted from logs</t>
  </si>
  <si>
    <t xml:space="preserve">I6</t>
  </si>
  <si>
    <t xml:space="preserve">CR-15</t>
  </si>
  <si>
    <t xml:space="preserve">X6</t>
  </si>
  <si>
    <t xml:space="preserve">EV-18</t>
  </si>
  <si>
    <t xml:space="preserve">Free-text fields such as special requests go to the US monitoring provider unredacted.</t>
  </si>
  <si>
    <t xml:space="preserve">Redaction of free text and confirmed retention at the provider.</t>
  </si>
  <si>
    <t xml:space="preserve">REM-13</t>
  </si>
  <si>
    <t xml:space="preserve">FND-14</t>
  </si>
  <si>
    <t xml:space="preserve">Production data used in test</t>
  </si>
  <si>
    <t xml:space="preserve">I5</t>
  </si>
  <si>
    <t xml:space="preserve">CR-12</t>
  </si>
  <si>
    <t xml:space="preserve">V10</t>
  </si>
  <si>
    <t xml:space="preserve">EV-20</t>
  </si>
  <si>
    <t xml:space="preserve">Three incidents in 2025 used production snapshots in test environments.</t>
  </si>
  <si>
    <t xml:space="preserve">No production data in test, masked data tooling and incident reporting.</t>
  </si>
  <si>
    <t xml:space="preserve">REM-14</t>
  </si>
  <si>
    <t xml:space="preserve">FND-15</t>
  </si>
  <si>
    <t xml:space="preserve">Exit arrangements weak</t>
  </si>
  <si>
    <t xml:space="preserve">M3, N5, O7</t>
  </si>
  <si>
    <t xml:space="preserve">CR-06, CR-25</t>
  </si>
  <si>
    <t xml:space="preserve">No tested exit plan, no insolvency clause, and connector credentials stay valid 30 days after contract end.</t>
  </si>
  <si>
    <t xml:space="preserve">An insolvency and data-return clause, a tested exit plan, and credentials revoked within 24 hours of the end.</t>
  </si>
  <si>
    <t xml:space="preserve">REM-15</t>
  </si>
  <si>
    <t xml:space="preserve">FND-16</t>
  </si>
  <si>
    <t xml:space="preserve">Slow incident notification and no assistance rate card</t>
  </si>
  <si>
    <t xml:space="preserve">M2, N4</t>
  </si>
  <si>
    <t xml:space="preserve">RR-08</t>
  </si>
  <si>
    <t xml:space="preserve">EV-12, EV-19</t>
  </si>
  <si>
    <t xml:space="preserve">Notification up to 72 hours. Assistance is billed at time and materials with no rate card.</t>
  </si>
  <si>
    <t xml:space="preserve">Notification within 24 hours (proposed) and a rate card or no extra cost.</t>
  </si>
  <si>
    <t xml:space="preserve">REM-16</t>
  </si>
  <si>
    <t xml:space="preserve">FND-17</t>
  </si>
  <si>
    <t xml:space="preserve">Insurer and assistance data handling</t>
  </si>
  <si>
    <t xml:space="preserve">U2, U3</t>
  </si>
  <si>
    <t xml:space="preserve">CR-17</t>
  </si>
  <si>
    <t xml:space="preserve">RR-16</t>
  </si>
  <si>
    <t xml:space="preserve">X8</t>
  </si>
  <si>
    <t xml:space="preserve">EV-25</t>
  </si>
  <si>
    <t xml:space="preserve">Assistance requests, which may hold health data, are kept 24 months at the partner. A failed insurer interface is handled by manual email.</t>
  </si>
  <si>
    <t xml:space="preserve">Retention limited to the claim period and an automatic alert on interface failure.</t>
  </si>
  <si>
    <t xml:space="preserve">REM-17</t>
  </si>
  <si>
    <t xml:space="preserve">FND-18</t>
  </si>
  <si>
    <t xml:space="preserve">Break-glass admin accounts not vaulted</t>
  </si>
  <si>
    <t xml:space="preserve">B2</t>
  </si>
  <si>
    <t xml:space="preserve">CR-07</t>
  </si>
  <si>
    <t xml:space="preserve">RR-14</t>
  </si>
  <si>
    <t xml:space="preserve">X4</t>
  </si>
  <si>
    <t xml:space="preserve">EV-05</t>
  </si>
  <si>
    <t xml:space="preserve">Four vendor admin accounts keep local passwords outside a vault.</t>
  </si>
  <si>
    <t xml:space="preserve">Vaulted credentials with approval and logging.</t>
  </si>
  <si>
    <t xml:space="preserve">REM-18</t>
  </si>
  <si>
    <t xml:space="preserve">FND-19</t>
  </si>
  <si>
    <t xml:space="preserve">VIP itineraries visible unmasked to support staff</t>
  </si>
  <si>
    <t xml:space="preserve">D5</t>
  </si>
  <si>
    <t xml:space="preserve">CR-10</t>
  </si>
  <si>
    <t xml:space="preserve">RR-13</t>
  </si>
  <si>
    <t xml:space="preserve">Stage 1 F5</t>
  </si>
  <si>
    <t xml:space="preserve">EV-09</t>
  </si>
  <si>
    <t xml:space="preserve">Support administrators see VIP profiles unmasked.</t>
  </si>
  <si>
    <t xml:space="preserve">Masked VIP profiles for support staff and named agents only.</t>
  </si>
  <si>
    <t xml:space="preserve">REM-19</t>
  </si>
  <si>
    <t xml:space="preserve">FND-20</t>
  </si>
  <si>
    <t xml:space="preserve">No regional hosting for non-EU staff</t>
  </si>
  <si>
    <t xml:space="preserve">T2</t>
  </si>
  <si>
    <t xml:space="preserve">CR-14</t>
  </si>
  <si>
    <t xml:space="preserve">RR-15</t>
  </si>
  <si>
    <t xml:space="preserve">R9</t>
  </si>
  <si>
    <t xml:space="preserve">Data is hosted only in the EU.</t>
  </si>
  <si>
    <t xml:space="preserve">A review of local-law needs per region and a hosting or exclusion decision.</t>
  </si>
  <si>
    <t xml:space="preserve">REM-20</t>
  </si>
  <si>
    <t xml:space="preserve">FND-21</t>
  </si>
  <si>
    <t xml:space="preserve">Invoice files not signed and no call-back on bank-detail changes</t>
  </si>
  <si>
    <t xml:space="preserve">G4, G5</t>
  </si>
  <si>
    <t xml:space="preserve">CR-11</t>
  </si>
  <si>
    <t xml:space="preserve">RR-04</t>
  </si>
  <si>
    <t xml:space="preserve">X3</t>
  </si>
  <si>
    <t xml:space="preserve">EV-16</t>
  </si>
  <si>
    <t xml:space="preserve">SFTP with key authentication but unsigned files. Bank-detail changes are accepted by email.</t>
  </si>
  <si>
    <t xml:space="preserve">Signed files and a call-back check by the bank's accounts payable.</t>
  </si>
  <si>
    <t xml:space="preserve">REM-21</t>
  </si>
  <si>
    <t xml:space="preserve">FND-22</t>
  </si>
  <si>
    <t xml:space="preserve">Minor gaps in loyalty, discount codes and booker access reporting</t>
  </si>
  <si>
    <t xml:space="preserve">Q4, Q5, C5</t>
  </si>
  <si>
    <t xml:space="preserve">CR-19, CR-08</t>
  </si>
  <si>
    <t xml:space="preserve">RR-17</t>
  </si>
  <si>
    <t xml:space="preserve">S11</t>
  </si>
  <si>
    <t xml:space="preserve">No access report for loyalty data, no usage monitoring for discount codes, and no report on bank-side booker accounts.</t>
  </si>
  <si>
    <t xml:space="preserve">Access and usage reports.</t>
  </si>
  <si>
    <t xml:space="preserve">REM-22</t>
  </si>
  <si>
    <t xml:space="preserve">Risk register</t>
  </si>
  <si>
    <t xml:space="preserve">Likelihood (L) and impact (I) are scored 1 to 5. Score = L x I. Bands: 1 to 4 Low, 5 to 9 Medium, 10 to 15 High, 16 to 25 Very high. Inherent = before vendor controls. Current = as assessed. Target = after the agreed remediation.</t>
  </si>
  <si>
    <t xml:space="preserve">Risk ID</t>
  </si>
  <si>
    <t xml:space="preserve">Findings</t>
  </si>
  <si>
    <t xml:space="preserve">L</t>
  </si>
  <si>
    <t xml:space="preserve">I</t>
  </si>
  <si>
    <t xml:space="preserve">Score</t>
  </si>
  <si>
    <t xml:space="preserve">Treatment</t>
  </si>
  <si>
    <t xml:space="preserve">Owner</t>
  </si>
  <si>
    <t xml:space="preserve">Stolen connector credential allows bulk reading of employee data</t>
  </si>
  <si>
    <t xml:space="preserve">FND-01, FND-02, FND-09</t>
  </si>
  <si>
    <t xml:space="preserve">Mitigate</t>
  </si>
  <si>
    <t xml:space="preserve">Bank IT security</t>
  </si>
  <si>
    <t xml:space="preserve">Standing support access from India exposes production data, including passport data</t>
  </si>
  <si>
    <t xml:space="preserve">Bank DPO and TPRM</t>
  </si>
  <si>
    <t xml:space="preserve">Personal data reaches an undisclosed AI provider in the US</t>
  </si>
  <si>
    <t xml:space="preserve">Avoid, then mitigate</t>
  </si>
  <si>
    <t xml:space="preserve">Bank TPRM</t>
  </si>
  <si>
    <t xml:space="preserve">Fraudulent or altered invoice reaches the ERP</t>
  </si>
  <si>
    <t xml:space="preserve">Bank Finance</t>
  </si>
  <si>
    <t xml:space="preserve">Fraudulent allowance payments through rate-table changes</t>
  </si>
  <si>
    <t xml:space="preserve">Card misuse or PCI non-compliance</t>
  </si>
  <si>
    <t xml:space="preserve">Avoid until attested, then mitigate</t>
  </si>
  <si>
    <t xml:space="preserve">Bank Finance and TPRM</t>
  </si>
  <si>
    <t xml:space="preserve">Outage or slow recovery of the platform</t>
  </si>
  <si>
    <t xml:space="preserve">Late breach notice and costly incident assistance</t>
  </si>
  <si>
    <t xml:space="preserve">Transfer (contract)</t>
  </si>
  <si>
    <t xml:space="preserve">Bank Legal</t>
  </si>
  <si>
    <t xml:space="preserve">Excess retention and exposure of guest, log and test data</t>
  </si>
  <si>
    <t xml:space="preserve">FND-11, FND-13, FND-14</t>
  </si>
  <si>
    <t xml:space="preserve">Bank DPO</t>
  </si>
  <si>
    <t xml:space="preserve">Unseen fourth parties and late notice of change</t>
  </si>
  <si>
    <t xml:space="preserve">No effective audit or exit rights for a critical service</t>
  </si>
  <si>
    <t xml:space="preserve">FND-05, FND-15</t>
  </si>
  <si>
    <t xml:space="preserve">Transfer (contract) and mitigate</t>
  </si>
  <si>
    <t xml:space="preserve">Bank Legal and Procurement</t>
  </si>
  <si>
    <t xml:space="preserve">Reliance on outdated or narrow assurance reports</t>
  </si>
  <si>
    <t xml:space="preserve">Leak of executive itineraries</t>
  </si>
  <si>
    <t xml:space="preserve">Takeover of vendor break-glass admin accounts</t>
  </si>
  <si>
    <t xml:space="preserve">Non-compliance with local rules outside the EU</t>
  </si>
  <si>
    <t xml:space="preserve">Avoid (EU first), then mitigate</t>
  </si>
  <si>
    <t xml:space="preserve">Bank DPO and Compliance</t>
  </si>
  <si>
    <t xml:space="preserve">Insurer and assistance data kept too long or interface fails</t>
  </si>
  <si>
    <t xml:space="preserve">HR benefits</t>
  </si>
  <si>
    <t xml:space="preserve">Minor misuse of loyalty data, discount codes or booker accounts</t>
  </si>
  <si>
    <t xml:space="preserve">Accept</t>
  </si>
  <si>
    <t xml:space="preserve">Bank HR</t>
  </si>
  <si>
    <t xml:space="preserve">Remediation plan</t>
  </si>
  <si>
    <t xml:space="preserve">Assumed go-live target: 1 Feb 2027. Pre-go-live items are due by 15 Jan 2027 and must be verified before go-live.</t>
  </si>
  <si>
    <t xml:space="preserve">Action ID</t>
  </si>
  <si>
    <t xml:space="preserve">Action</t>
  </si>
  <si>
    <t xml:space="preserve">Due</t>
  </si>
  <si>
    <t xml:space="preserve">Type</t>
  </si>
  <si>
    <t xml:space="preserve">Evidence to verify</t>
  </si>
  <si>
    <t xml:space="preserve">Notes</t>
  </si>
  <si>
    <t xml:space="preserve">Limit secret read access to named roles, require approval for break-glass access, log it and review monthly.</t>
  </si>
  <si>
    <t xml:space="preserve">Vendor X security lead</t>
  </si>
  <si>
    <t xml:space="preserve">15 Jan 2027</t>
  </si>
  <si>
    <t xml:space="preserve">Pre-go-live</t>
  </si>
  <si>
    <t xml:space="preserve">Updated access list and approval log</t>
  </si>
  <si>
    <t xml:space="preserve">Rotate credentials at least every 90 days, automate it, and give the bank a self-service revoke.</t>
  </si>
  <si>
    <t xml:space="preserve">Rotation record and a revoke test</t>
  </si>
  <si>
    <t xml:space="preserve">Introduce just-in-time approval for production access, mask data for offshore staff, and complete a transfer impact assessment.</t>
  </si>
  <si>
    <t xml:space="preserve">Vendor X and Bank DPO</t>
  </si>
  <si>
    <t xml:space="preserve">Access policy, sample approval log, assessment</t>
  </si>
  <si>
    <t xml:space="preserve">Disable the AI assistant for the bank tenant until the provider is contracted, listed as a fourth party and prompts exclude personal data.</t>
  </si>
  <si>
    <t xml:space="preserve">Vendor X, approved by Bank TPRM</t>
  </si>
  <si>
    <t xml:space="preserve">Feature gate</t>
  </si>
  <si>
    <t xml:space="preserve">Feature switched off, then provider contract and prompt redaction evidence</t>
  </si>
  <si>
    <t xml:space="preserve">Amend the contract to give the bank and its authorities unrestricted access, inspection and audit rights.</t>
  </si>
  <si>
    <t xml:space="preserve">Signed contract addendum</t>
  </si>
  <si>
    <t xml:space="preserve">Obtain the vendor's own attestation or a written scoping statement. Virtual cards stay off until verified.</t>
  </si>
  <si>
    <t xml:space="preserve">Vendor X and Bank TPRM</t>
  </si>
  <si>
    <t xml:space="preserve">31 Mar 2027</t>
  </si>
  <si>
    <t xml:space="preserve">Attestation or accepted scoping statement</t>
  </si>
  <si>
    <t xml:space="preserve">Add second approval and a finance-only role for rate changes, with an alert. Until then Finance reviews the change log weekly.</t>
  </si>
  <si>
    <t xml:space="preserve">Vendor X and Bank Finance</t>
  </si>
  <si>
    <t xml:space="preserve">30 Apr 2027</t>
  </si>
  <si>
    <t xml:space="preserve">Within 90 days</t>
  </si>
  <si>
    <t xml:space="preserve">Configuration screenshot and test of a rate change</t>
  </si>
  <si>
    <t xml:space="preserve">Provide a bridge letter now. Extend SOC 2 and ISO scope to the visa, gifts, card modules and the India site at the next cycle.</t>
  </si>
  <si>
    <t xml:space="preserve">Vendor X</t>
  </si>
  <si>
    <t xml:space="preserve">15 Jan 2027 (letter), 31 Dec 2027 (scope)</t>
  </si>
  <si>
    <t xml:space="preserve">Bridge letter, later the new reports</t>
  </si>
  <si>
    <t xml:space="preserve">Enable mutual TLS, or document the compensating controls with Bank IT security sign-off.</t>
  </si>
  <si>
    <t xml:space="preserve">Bank IT security and Vendor X</t>
  </si>
  <si>
    <t xml:space="preserve">Configuration or signed acceptance</t>
  </si>
  <si>
    <t xml:space="preserve">Repeat the disaster recovery test and meet the 4-hour target.</t>
  </si>
  <si>
    <t xml:space="preserve">Test report</t>
  </si>
  <si>
    <t xml:space="preserve">Delete guest data automatically 90 days after the trip. The Bank DPO confirms the period.</t>
  </si>
  <si>
    <t xml:space="preserve">Retention setting and deletion log</t>
  </si>
  <si>
    <t xml:space="preserve">Contract 30 days' notice and a right to object for every subprocessor change, shorten supplier retention, and correct the roles.</t>
  </si>
  <si>
    <t xml:space="preserve">Bank Legal and Bank DPO</t>
  </si>
  <si>
    <t xml:space="preserve">Contract clause and corrected register</t>
  </si>
  <si>
    <t xml:space="preserve">Redact free text from logs and confirm retention at the monitoring provider.</t>
  </si>
  <si>
    <t xml:space="preserve">Redaction rule and sample log</t>
  </si>
  <si>
    <t xml:space="preserve">Stop use of production data in test and use masked data tooling.</t>
  </si>
  <si>
    <t xml:space="preserve">Updated policy and tooling evidence</t>
  </si>
  <si>
    <t xml:space="preserve">Add an insolvency and data-return clause, test the exit plan, and revoke credentials within 24 hours of the end.</t>
  </si>
  <si>
    <t xml:space="preserve">Bank Legal and Vendor X</t>
  </si>
  <si>
    <t xml:space="preserve">15 Jan 2027 (contract), 30 Jun 2027 (exit test)</t>
  </si>
  <si>
    <t xml:space="preserve">Contract clause, then exit test report</t>
  </si>
  <si>
    <t xml:space="preserve">Commit to notification within 24 hours (proposed) and provide a rate card.</t>
  </si>
  <si>
    <t xml:space="preserve">Contract clause and rate card</t>
  </si>
  <si>
    <t xml:space="preserve">Limit assistance data retention to the claim period and alert on insurer interface failure.</t>
  </si>
  <si>
    <t xml:space="preserve">Vendor X and HR benefits</t>
  </si>
  <si>
    <t xml:space="preserve">Retention rule and alert sample</t>
  </si>
  <si>
    <t xml:space="preserve">Move break-glass credentials into a vault with approval and logging.</t>
  </si>
  <si>
    <t xml:space="preserve">Vault configuration</t>
  </si>
  <si>
    <t xml:space="preserve">Mask VIP profiles for support staff. Until then only named agents handle VIP bookings.</t>
  </si>
  <si>
    <t xml:space="preserve">Masking configuration and test</t>
  </si>
  <si>
    <t xml:space="preserve">Review local-law needs by region. Roll out in the EU first and decide on regional hosting.</t>
  </si>
  <si>
    <t xml:space="preserve">Regional assessment and decision</t>
  </si>
  <si>
    <t xml:space="preserve">Sign invoice files and add an accounts payable call-back check for bank-detail changes.</t>
  </si>
  <si>
    <t xml:space="preserve">Signed sample file and procedure</t>
  </si>
  <si>
    <t xml:space="preserve">Provide access and usage reports for loyalty data, discount codes and bookers.</t>
  </si>
  <si>
    <t xml:space="preserve">31 Jul 2027</t>
  </si>
  <si>
    <t xml:space="preserve">Track</t>
  </si>
  <si>
    <t xml:space="preserve">Sample reports</t>
  </si>
  <si>
    <t xml:space="preserve">Monitoring: key risk indicators and reassessment</t>
  </si>
  <si>
    <t xml:space="preserve">KRI ID</t>
  </si>
  <si>
    <t xml:space="preserve">Indicator</t>
  </si>
  <si>
    <t xml:space="preserve">Measure</t>
  </si>
  <si>
    <t xml:space="preserve">Green</t>
  </si>
  <si>
    <t xml:space="preserve">Amber</t>
  </si>
  <si>
    <t xml:space="preserve">Red</t>
  </si>
  <si>
    <t xml:space="preserve">Frequency</t>
  </si>
  <si>
    <t xml:space="preserve">KRI-01</t>
  </si>
  <si>
    <t xml:space="preserve">Days since last connector credential rotation</t>
  </si>
  <si>
    <t xml:space="preserve">Days</t>
  </si>
  <si>
    <t xml:space="preserve">90 or fewer</t>
  </si>
  <si>
    <t xml:space="preserve">91 to 120</t>
  </si>
  <si>
    <t xml:space="preserve">Over 120</t>
  </si>
  <si>
    <t xml:space="preserve">Monthly</t>
  </si>
  <si>
    <t xml:space="preserve">Vendor rotation record</t>
  </si>
  <si>
    <t xml:space="preserve">KRI-02</t>
  </si>
  <si>
    <t xml:space="preserve">Open High findings</t>
  </si>
  <si>
    <t xml:space="preserve">Count</t>
  </si>
  <si>
    <t xml:space="preserve">0</t>
  </si>
  <si>
    <t xml:space="preserve">None</t>
  </si>
  <si>
    <t xml:space="preserve">1 or more</t>
  </si>
  <si>
    <t xml:space="preserve">Findings register</t>
  </si>
  <si>
    <t xml:space="preserve">KRI-03</t>
  </si>
  <si>
    <t xml:space="preserve">Overdue remediation actions</t>
  </si>
  <si>
    <t xml:space="preserve">1 to 2</t>
  </si>
  <si>
    <t xml:space="preserve">3 or more</t>
  </si>
  <si>
    <t xml:space="preserve">KRI-04</t>
  </si>
  <si>
    <t xml:space="preserve">Production-data sessions from outside the EU without approval</t>
  </si>
  <si>
    <t xml:space="preserve">Count per month</t>
  </si>
  <si>
    <t xml:space="preserve">1 to 5</t>
  </si>
  <si>
    <t xml:space="preserve">Over 5</t>
  </si>
  <si>
    <t xml:space="preserve">Vendor access logs</t>
  </si>
  <si>
    <t xml:space="preserve">KRI-05</t>
  </si>
  <si>
    <t xml:space="preserve">Age of latest SOC 2 or ISO evidence</t>
  </si>
  <si>
    <t xml:space="preserve">Months</t>
  </si>
  <si>
    <t xml:space="preserve">12 or fewer</t>
  </si>
  <si>
    <t xml:space="preserve">13 to 15</t>
  </si>
  <si>
    <t xml:space="preserve">Over 15</t>
  </si>
  <si>
    <t xml:space="preserve">Quarterly</t>
  </si>
  <si>
    <t xml:space="preserve">Reports and certificates</t>
  </si>
  <si>
    <t xml:space="preserve">KRI-06</t>
  </si>
  <si>
    <t xml:space="preserve">Platform availability</t>
  </si>
  <si>
    <t xml:space="preserve">Percent per month</t>
  </si>
  <si>
    <t xml:space="preserve">99.9 or more</t>
  </si>
  <si>
    <t xml:space="preserve">99.5 to 99.9</t>
  </si>
  <si>
    <t xml:space="preserve">Below 99.5</t>
  </si>
  <si>
    <t xml:space="preserve">Business owner (HR)</t>
  </si>
  <si>
    <t xml:space="preserve">Vendor service report</t>
  </si>
  <si>
    <t xml:space="preserve">KRI-07</t>
  </si>
  <si>
    <t xml:space="preserve">Hours from HR leaver record to access removal</t>
  </si>
  <si>
    <t xml:space="preserve">Hours</t>
  </si>
  <si>
    <t xml:space="preserve">24 or fewer</t>
  </si>
  <si>
    <t xml:space="preserve">25 to 48</t>
  </si>
  <si>
    <t xml:space="preserve">Over 48</t>
  </si>
  <si>
    <t xml:space="preserve">Leaver test sample</t>
  </si>
  <si>
    <t xml:space="preserve">KRI-08</t>
  </si>
  <si>
    <t xml:space="preserve">Failed or incomplete nightly syncs</t>
  </si>
  <si>
    <t xml:space="preserve">Bank HR and IT</t>
  </si>
  <si>
    <t xml:space="preserve">Sync alerts</t>
  </si>
  <si>
    <t xml:space="preserve">KRI-09</t>
  </si>
  <si>
    <t xml:space="preserve">Invoice exceptions (duplicates, altered bank details)</t>
  </si>
  <si>
    <t xml:space="preserve">1</t>
  </si>
  <si>
    <t xml:space="preserve">2 or more</t>
  </si>
  <si>
    <t xml:space="preserve">Accounts payable log</t>
  </si>
  <si>
    <t xml:space="preserve">KRI-10</t>
  </si>
  <si>
    <t xml:space="preserve">Allowance rate changes without second approval</t>
  </si>
  <si>
    <t xml:space="preserve">Rate-table change log</t>
  </si>
  <si>
    <t xml:space="preserve">KRI-11</t>
  </si>
  <si>
    <t xml:space="preserve">Subprocessor changes without notice</t>
  </si>
  <si>
    <t xml:space="preserve">Count per quarter</t>
  </si>
  <si>
    <t xml:space="preserve">Vendor notices</t>
  </si>
  <si>
    <t xml:space="preserve">KRI-12</t>
  </si>
  <si>
    <t xml:space="preserve">Hours from vendor incident to bank notification</t>
  </si>
  <si>
    <t xml:space="preserve">Per event</t>
  </si>
  <si>
    <t xml:space="preserve">Incident records</t>
  </si>
  <si>
    <t xml:space="preserve">KRI-13</t>
  </si>
  <si>
    <t xml:space="preserve">Disaster recovery test result</t>
  </si>
  <si>
    <t xml:space="preserve">Result and age</t>
  </si>
  <si>
    <t xml:space="preserve">Met target, within 12 months</t>
  </si>
  <si>
    <t xml:space="preserve">Older than 12 months</t>
  </si>
  <si>
    <t xml:space="preserve">Failed, or older than 18 months</t>
  </si>
  <si>
    <t xml:space="preserve">Annual</t>
  </si>
  <si>
    <t xml:space="preserve">Reassessment schedule for a Tier 1 vendor</t>
  </si>
  <si>
    <t xml:space="preserve">When</t>
  </si>
  <si>
    <t xml:space="preserve">What</t>
  </si>
  <si>
    <t xml:space="preserve">Review KRIs and open findings</t>
  </si>
  <si>
    <t xml:space="preserve">Governance meeting with Vendor X: KRIs, incidents, changes, subprocessors</t>
  </si>
  <si>
    <t xml:space="preserve">Bank TPRM and business owner</t>
  </si>
  <si>
    <t xml:space="preserve">Every 6 months</t>
  </si>
  <si>
    <t xml:space="preserve">Mid-year review of remediation and evidence age</t>
  </si>
  <si>
    <t xml:space="preserve">Full reassessment of the Tier 1 service, with refreshed evidence</t>
  </si>
  <si>
    <t xml:space="preserve">On a trigger</t>
  </si>
  <si>
    <t xml:space="preserve">Incident at the vendor, change of ownership, new fourth party, new module (for example AI), lapsed certificate, failed audit, or contract renewal</t>
  </si>
  <si>
    <t xml:space="preserve">Evidence log</t>
  </si>
  <si>
    <t xml:space="preserve">Simulated evidence received from Vendor X. Strength follows the Stage 4 rules.</t>
  </si>
  <si>
    <t xml:space="preserve">Evidence ID</t>
  </si>
  <si>
    <t xml:space="preserve">Evidence item</t>
  </si>
  <si>
    <t xml:space="preserve">Provided by</t>
  </si>
  <si>
    <t xml:space="preserve">Date or period</t>
  </si>
  <si>
    <t xml:space="preserve">Strength</t>
  </si>
  <si>
    <t xml:space="preserve">Questions covered</t>
  </si>
  <si>
    <t xml:space="preserve">Note</t>
  </si>
  <si>
    <t xml:space="preserve">EV-01</t>
  </si>
  <si>
    <t xml:space="preserve">ISO/IEC 27001:2022 certificate and scope statement</t>
  </si>
  <si>
    <t xml:space="preserve">Mar 2024 to Mar 2027</t>
  </si>
  <si>
    <t xml:space="preserve">Strong</t>
  </si>
  <si>
    <t xml:space="preserve">Scope excludes the India support site</t>
  </si>
  <si>
    <t xml:space="preserve">EV-02</t>
  </si>
  <si>
    <t xml:space="preserve">SOC 2 Type II report</t>
  </si>
  <si>
    <t xml:space="preserve">Period 1 Jan 2025 to 31 Dec 2025</t>
  </si>
  <si>
    <t xml:space="preserve">Strong, but dated</t>
  </si>
  <si>
    <t xml:space="preserve">No bridge letter for 2026. Visa, gifts and card modules excluded</t>
  </si>
  <si>
    <t xml:space="preserve">EV-03</t>
  </si>
  <si>
    <t xml:space="preserve">Penetration test summary letter and remediation tracker</t>
  </si>
  <si>
    <t xml:space="preserve">Independent test firm, via vendor</t>
  </si>
  <si>
    <t xml:space="preserve">Jun 2026</t>
  </si>
  <si>
    <t xml:space="preserve">L2, I8</t>
  </si>
  <si>
    <t xml:space="preserve">Full report available under NDA</t>
  </si>
  <si>
    <t xml:space="preserve">PCI DSS attestation of compliance for Card Provider Y</t>
  </si>
  <si>
    <t xml:space="preserve">Mar 2026</t>
  </si>
  <si>
    <t xml:space="preserve">Strong for Card Provider Y only</t>
  </si>
  <si>
    <t xml:space="preserve">P1</t>
  </si>
  <si>
    <t xml:space="preserve">Vendor's own attestation not provided</t>
  </si>
  <si>
    <t xml:space="preserve">SSO configuration screenshots</t>
  </si>
  <si>
    <t xml:space="preserve">Aug 2026</t>
  </si>
  <si>
    <t xml:space="preserve">B1, B2, B3</t>
  </si>
  <si>
    <t xml:space="preserve">Screenshots, no export</t>
  </si>
  <si>
    <t xml:space="preserve">Secrets management procedure, access list and rotation schedule</t>
  </si>
  <si>
    <t xml:space="preserve">Sep 2026</t>
  </si>
  <si>
    <t xml:space="preserve">E3, O3, O4</t>
  </si>
  <si>
    <t xml:space="preserve">Access list names 11 staff. Rotation is annual</t>
  </si>
  <si>
    <t xml:space="preserve">EV-07</t>
  </si>
  <si>
    <t xml:space="preserve">Vendor administrator list</t>
  </si>
  <si>
    <t xml:space="preserve">D1</t>
  </si>
  <si>
    <t xml:space="preserve">Eight administrators, all with MFA</t>
  </si>
  <si>
    <t xml:space="preserve">Static egress IP list and contract annex</t>
  </si>
  <si>
    <t xml:space="preserve">H1, O1</t>
  </si>
  <si>
    <t xml:space="preserve">30 days' notice of change</t>
  </si>
  <si>
    <t xml:space="preserve">Support access policy and 90-day access log extract</t>
  </si>
  <si>
    <t xml:space="preserve">Jul to Sep 2026</t>
  </si>
  <si>
    <t xml:space="preserve">D2, D4, I2</t>
  </si>
  <si>
    <t xml:space="preserve">Log shows standing access by India-based staff</t>
  </si>
  <si>
    <t xml:space="preserve">EV-10</t>
  </si>
  <si>
    <t xml:space="preserve">Subprocessor list, data-sharing register and transfer register</t>
  </si>
  <si>
    <t xml:space="preserve">A3, I2, K1, K3, K5, T1</t>
  </si>
  <si>
    <t xml:space="preserve">Lists 10 fourth parties, no AI provider</t>
  </si>
  <si>
    <t xml:space="preserve">EV-11</t>
  </si>
  <si>
    <t xml:space="preserve">AI feature description (vendor email)</t>
  </si>
  <si>
    <t xml:space="preserve">Weak</t>
  </si>
  <si>
    <t xml:space="preserve">A3, K1, W1, W2, W3</t>
  </si>
  <si>
    <t xml:space="preserve">Vendor statement only</t>
  </si>
  <si>
    <t xml:space="preserve">Contract draft with bank addendum</t>
  </si>
  <si>
    <t xml:space="preserve">Strong (document)</t>
  </si>
  <si>
    <t xml:space="preserve">N1, N3, N4, N5, N7, K4, M3, T3</t>
  </si>
  <si>
    <t xml:space="preserve">Audit, exit and notice terms reviewed</t>
  </si>
  <si>
    <t xml:space="preserve">Disaster recovery test report</t>
  </si>
  <si>
    <t xml:space="preserve">2025</t>
  </si>
  <si>
    <t xml:space="preserve">Failover took 6 hours</t>
  </si>
  <si>
    <t xml:space="preserve">EV-14</t>
  </si>
  <si>
    <t xml:space="preserve">Leaver test result</t>
  </si>
  <si>
    <t xml:space="preserve">Observed by bank IT</t>
  </si>
  <si>
    <t xml:space="preserve">C2</t>
  </si>
  <si>
    <t xml:space="preserve">19 hours from HR change to removal</t>
  </si>
  <si>
    <t xml:space="preserve">Allowance rate-table change log export</t>
  </si>
  <si>
    <t xml:space="preserve">Single-user changes, no approval step</t>
  </si>
  <si>
    <t xml:space="preserve">Invoice interface specification, sample reconciliation report and sample sync alert</t>
  </si>
  <si>
    <t xml:space="preserve">E4, G1, G2, G4, G5</t>
  </si>
  <si>
    <t xml:space="preserve">SFTP with key authentication, files not signed</t>
  </si>
  <si>
    <t xml:space="preserve">Data retention schedule</t>
  </si>
  <si>
    <t xml:space="preserve">Guest data kept 24 months</t>
  </si>
  <si>
    <t xml:space="preserve">Log redaction standard, log schema and retention policy</t>
  </si>
  <si>
    <t xml:space="preserve">I6, J1</t>
  </si>
  <si>
    <t xml:space="preserve">Free-text fields not redacted</t>
  </si>
  <si>
    <t xml:space="preserve">EV-19</t>
  </si>
  <si>
    <t xml:space="preserve">Incident response policy</t>
  </si>
  <si>
    <t xml:space="preserve">Weak (policy only)</t>
  </si>
  <si>
    <t xml:space="preserve">M2</t>
  </si>
  <si>
    <t xml:space="preserve">72-hour customer notification</t>
  </si>
  <si>
    <t xml:space="preserve">Test data policy and three incident records</t>
  </si>
  <si>
    <t xml:space="preserve">Production snapshots used in test</t>
  </si>
  <si>
    <t xml:space="preserve">EV-21</t>
  </si>
  <si>
    <t xml:space="preserve">Encryption standard</t>
  </si>
  <si>
    <t xml:space="preserve">I1</t>
  </si>
  <si>
    <t xml:space="preserve">AES-256, TLS 1.2 or higher</t>
  </si>
  <si>
    <t xml:space="preserve">EV-22</t>
  </si>
  <si>
    <t xml:space="preserve">Connector architecture and patch records</t>
  </si>
  <si>
    <t xml:space="preserve">O5, O6</t>
  </si>
  <si>
    <t xml:space="preserve">Dedicated instance, monthly patching</t>
  </si>
  <si>
    <t xml:space="preserve">EV-23</t>
  </si>
  <si>
    <t xml:space="preserve">Card configuration screenshot and limit change log</t>
  </si>
  <si>
    <t xml:space="preserve">P2, P3</t>
  </si>
  <si>
    <t xml:space="preserve">Single-use cards, tokens only</t>
  </si>
  <si>
    <t xml:space="preserve">EV-24</t>
  </si>
  <si>
    <t xml:space="preserve">Allowance calculation specification, test cases and gift workflow configuration</t>
  </si>
  <si>
    <t xml:space="preserve">Q2, Q3</t>
  </si>
  <si>
    <t xml:space="preserve">12 test cases</t>
  </si>
  <si>
    <t xml:space="preserve">Insurer interface specification</t>
  </si>
  <si>
    <t xml:space="preserve">U1</t>
  </si>
  <si>
    <t xml:space="preserve">Schema validation</t>
  </si>
  <si>
    <t xml:space="preserve">Each requirement is derived from the Stage 1 to 3 sources shown. Questions are IDs on the Questionnaire sheet.</t>
  </si>
  <si>
    <t xml:space="preserve">CR ID</t>
  </si>
  <si>
    <t xml:space="preserve">Area</t>
  </si>
  <si>
    <t xml:space="preserve">Requirement</t>
  </si>
  <si>
    <t xml:space="preserve">Risk addressed</t>
  </si>
  <si>
    <t xml:space="preserve">Derived from</t>
  </si>
  <si>
    <t xml:space="preserve">DORA</t>
  </si>
  <si>
    <t xml:space="preserve">GDPR</t>
  </si>
  <si>
    <t xml:space="preserve">ISO 27001:2022 Annex A</t>
  </si>
  <si>
    <t xml:space="preserve">Other</t>
  </si>
  <si>
    <t xml:space="preserve">CR-01</t>
  </si>
  <si>
    <t xml:space="preserve">Network</t>
  </si>
  <si>
    <t xml:space="preserve">The vendor connects to the bank only from a fixed, documented set of source addresses, announced before any change, and the bank allows only those.</t>
  </si>
  <si>
    <t xml:space="preserve">An unauthorised party reaches the bank's HR, expense or finance endpoints</t>
  </si>
  <si>
    <t xml:space="preserve">X1; FA, F3, F6, F11, F7</t>
  </si>
  <si>
    <t xml:space="preserve">Art 9</t>
  </si>
  <si>
    <t xml:space="preserve">Art 32</t>
  </si>
  <si>
    <t xml:space="preserve">A.8.20; A.8.22</t>
  </si>
  <si>
    <t xml:space="preserve">All tiers</t>
  </si>
  <si>
    <t xml:space="preserve">Connection authentication</t>
  </si>
  <si>
    <t xml:space="preserve">Every connection from the vendor into the bank uses mutual TLS or equivalent strong client authentication, with short-lived tokens.</t>
  </si>
  <si>
    <t xml:space="preserve">A stolen or replayed credential works from anywhere</t>
  </si>
  <si>
    <t xml:space="preserve">X1; V7</t>
  </si>
  <si>
    <t xml:space="preserve">H2, H3, O2</t>
  </si>
  <si>
    <t xml:space="preserve">A.8.5; A.8.24</t>
  </si>
  <si>
    <t xml:space="preserve">Credential storage</t>
  </si>
  <si>
    <t xml:space="preserve">Credentials the bank gives the vendor (HR, HR portal, expense and ERP accounts) are held in a vault, never in plain text, readable only by named roles, with access logged.</t>
  </si>
  <si>
    <t xml:space="preserve">Compromise of one place exposes four bank systems</t>
  </si>
  <si>
    <t xml:space="preserve">X2; V7</t>
  </si>
  <si>
    <t xml:space="preserve">E3, O3</t>
  </si>
  <si>
    <t xml:space="preserve">A.5.17; A.8.24</t>
  </si>
  <si>
    <t xml:space="preserve">Credential rotation</t>
  </si>
  <si>
    <t xml:space="preserve">Credentials are rotated at least every 90 days and after staff or incident triggers, and the bank can revoke them immediately. (90 days is a proposed default.)</t>
  </si>
  <si>
    <t xml:space="preserve">A leaked credential stays valid for months</t>
  </si>
  <si>
    <t xml:space="preserve">A.5.17</t>
  </si>
  <si>
    <t xml:space="preserve">CR-05</t>
  </si>
  <si>
    <t xml:space="preserve">Connector isolation</t>
  </si>
  <si>
    <t xml:space="preserve">The connector is a dedicated instance for the bank, patched and monitored, with read-only access and only the agreed fields.</t>
  </si>
  <si>
    <t xml:space="preserve">Over-broad access allows bulk reading of employee data</t>
  </si>
  <si>
    <t xml:space="preserve">X1, X2; FA, F3</t>
  </si>
  <si>
    <t xml:space="preserve">E1, O5, O6</t>
  </si>
  <si>
    <t xml:space="preserve">Art 5(1)(c); Art 32</t>
  </si>
  <si>
    <t xml:space="preserve">A.8.22; A.8.8; A.5.15</t>
  </si>
  <si>
    <t xml:space="preserve">CR-06</t>
  </si>
  <si>
    <t xml:space="preserve">Connector exit</t>
  </si>
  <si>
    <t xml:space="preserve">At contract end the connector is shut down, credentials are revoked and deleted, and the bank receives evidence.</t>
  </si>
  <si>
    <t xml:space="preserve">Residual access after the relationship ends</t>
  </si>
  <si>
    <t xml:space="preserve">X2; Tier 1</t>
  </si>
  <si>
    <t xml:space="preserve">M3, O7</t>
  </si>
  <si>
    <t xml:space="preserve">Art 28(8); Art 30(2)(d)</t>
  </si>
  <si>
    <t xml:space="preserve">Art 28(3)(g)</t>
  </si>
  <si>
    <t xml:space="preserve">A.5.18; A.5.20</t>
  </si>
  <si>
    <t xml:space="preserve">Tier 1</t>
  </si>
  <si>
    <t xml:space="preserve">SSO and MFA</t>
  </si>
  <si>
    <t xml:space="preserve">Users sign in only through the bank IdP with MFA. Local passwords are disabled, including for admins, except vaulted break-glass accounts.</t>
  </si>
  <si>
    <t xml:space="preserve">Account takeover or unmanaged accounts</t>
  </si>
  <si>
    <t xml:space="preserve">X4; FS, FG, F10</t>
  </si>
  <si>
    <t xml:space="preserve">B1, B2, B3, B4</t>
  </si>
  <si>
    <t xml:space="preserve">A.5.16; A.5.17; A.8.5</t>
  </si>
  <si>
    <t xml:space="preserve">CR-08</t>
  </si>
  <si>
    <t xml:space="preserve">Joiners, movers, leavers</t>
  </si>
  <si>
    <t xml:space="preserve">Accounts follow the HR record: leavers lose access within an agreed time, movers get new roles, seats are reclaimed and access is reviewed.</t>
  </si>
  <si>
    <t xml:space="preserve">Former employees keep access to travel data and booking rights</t>
  </si>
  <si>
    <t xml:space="preserve">FA; FS</t>
  </si>
  <si>
    <t xml:space="preserve">C1, C2, C3, C4, C5</t>
  </si>
  <si>
    <t xml:space="preserve">A.5.16; A.5.18; A.6.5</t>
  </si>
  <si>
    <t xml:space="preserve">CR-09</t>
  </si>
  <si>
    <t xml:space="preserve">Privileged and support access</t>
  </si>
  <si>
    <t xml:space="preserve">Vendor admin and support access to production data is just-in-time, approved, logged and restricted by region.</t>
  </si>
  <si>
    <t xml:space="preserve">Misuse or compromise of support accounts exposes passport and executive data</t>
  </si>
  <si>
    <t xml:space="preserve">X5; V8; FV</t>
  </si>
  <si>
    <t xml:space="preserve">D1, D2, D4</t>
  </si>
  <si>
    <t xml:space="preserve">Art 28(3)(b); Art 32</t>
  </si>
  <si>
    <t xml:space="preserve">A.8.2; A.8.15</t>
  </si>
  <si>
    <t xml:space="preserve">VIP protection</t>
  </si>
  <si>
    <t xml:space="preserve">Executive and VIP itineraries have restricted visibility and masked trip purposes, including for vendor staff.</t>
  </si>
  <si>
    <t xml:space="preserve">Leak of senior management movements</t>
  </si>
  <si>
    <t xml:space="preserve">Stage 1 F5; S2</t>
  </si>
  <si>
    <t xml:space="preserve">A.8.3; A.5.15</t>
  </si>
  <si>
    <t xml:space="preserve">Invoice and finance integrity</t>
  </si>
  <si>
    <t xml:space="preserve">Invoices are authenticated and tamper-evident, duplicates and alterations are detected, and changes of bank details are verified with the bank.</t>
  </si>
  <si>
    <t xml:space="preserve">A fraudulent or altered invoice reaches the ERP</t>
  </si>
  <si>
    <t xml:space="preserve">X3; F7, F8</t>
  </si>
  <si>
    <t xml:space="preserve">G1, G2, G3, G4, G5</t>
  </si>
  <si>
    <t xml:space="preserve">n/a</t>
  </si>
  <si>
    <t xml:space="preserve">A.8.26; A.8.32</t>
  </si>
  <si>
    <t xml:space="preserve">Data minimisation and lifecycle</t>
  </si>
  <si>
    <t xml:space="preserve">Only required fields are sent, retention periods are set and deletion is evidenced, test environments hold no real data, and guest data is deleted after the trip.</t>
  </si>
  <si>
    <t xml:space="preserve">Over-collection and long retention of passport and personal data</t>
  </si>
  <si>
    <t xml:space="preserve">X10; V10; D2, D3, D10</t>
  </si>
  <si>
    <t xml:space="preserve">A2, E1, I3, I4, I5, I7</t>
  </si>
  <si>
    <t xml:space="preserve">Art 30(2)(c); Art 30(2)(d)</t>
  </si>
  <si>
    <t xml:space="preserve">Art 5(1)(c); Art 5(1)(e); Art 32</t>
  </si>
  <si>
    <t xml:space="preserve">A.5.34; A.8.10; A.8.33</t>
  </si>
  <si>
    <t xml:space="preserve">CR-13</t>
  </si>
  <si>
    <t xml:space="preserve">Encryption</t>
  </si>
  <si>
    <t xml:space="preserve">Data is encrypted in transit (TLS 1.2 or higher) and at rest, with defined key management and a customer-managed key option where available.</t>
  </si>
  <si>
    <t xml:space="preserve">Data exposed if storage or traffic is intercepted</t>
  </si>
  <si>
    <t xml:space="preserve">V11</t>
  </si>
  <si>
    <t xml:space="preserve">H2, I1</t>
  </si>
  <si>
    <t xml:space="preserve">Art 32(1)(a)</t>
  </si>
  <si>
    <t xml:space="preserve">A.8.24</t>
  </si>
  <si>
    <t xml:space="preserve">Cross-border transfers and regional rules</t>
  </si>
  <si>
    <t xml:space="preserve">Every country that can access or receive personal data is listed with a transfer mechanism, regional residency needs are met, and local regulator requests can be supported.</t>
  </si>
  <si>
    <t xml:space="preserve">Unlawful transfer or breach of local data laws</t>
  </si>
  <si>
    <t xml:space="preserve">X5, X6; V6; R9</t>
  </si>
  <si>
    <t xml:space="preserve">I2, T1, T2, T3</t>
  </si>
  <si>
    <t xml:space="preserve">Art 30(2)(b)</t>
  </si>
  <si>
    <t xml:space="preserve">Arts 44 to 49</t>
  </si>
  <si>
    <t xml:space="preserve">A.5.34; A.5.23</t>
  </si>
  <si>
    <t xml:space="preserve">Regional rules (R9)</t>
  </si>
  <si>
    <t xml:space="preserve">Security events are logged immutably, exportable to the bank's SIEM, free of personal and card data and monitored for anomalies. Failed syncs raise alerts.</t>
  </si>
  <si>
    <t xml:space="preserve">Incidents go undetected, or logs leak personal data</t>
  </si>
  <si>
    <t xml:space="preserve">X6; FL</t>
  </si>
  <si>
    <t xml:space="preserve">E4, I6, J1, J2, J3</t>
  </si>
  <si>
    <t xml:space="preserve">Art 10</t>
  </si>
  <si>
    <t xml:space="preserve">Art 32; Art 33(2)</t>
  </si>
  <si>
    <t xml:space="preserve">A.8.15; A.8.16; A.8.11</t>
  </si>
  <si>
    <t xml:space="preserve">Fourth-party transparency</t>
  </si>
  <si>
    <t xml:space="preserve">The vendor lists each fourth party, the data it receives and its role, gives advance notice of changes with a right to object, and ensures deletion after use.</t>
  </si>
  <si>
    <t xml:space="preserve">Data spreads to suppliers the bank cannot see or control</t>
  </si>
  <si>
    <t xml:space="preserve">X7, X12; V9; FP1 to FP10</t>
  </si>
  <si>
    <t xml:space="preserve">K1, K2, K3, K4, K5</t>
  </si>
  <si>
    <t xml:space="preserve">Art 28(3); Art 28(4); Art 30(2)(a)</t>
  </si>
  <si>
    <t xml:space="preserve">Art 28(2); Art 28(4)</t>
  </si>
  <si>
    <t xml:space="preserve">A.5.19; A.5.21; A.5.22</t>
  </si>
  <si>
    <t xml:space="preserve">Tier 1 (deeper)</t>
  </si>
  <si>
    <t xml:space="preserve">Insurer hand-off</t>
  </si>
  <si>
    <t xml:space="preserve">Data sent to the group insurer is accurate and minimal, health information is protected, and a failed interface is detected.</t>
  </si>
  <si>
    <t xml:space="preserve">Wrong or excessive data reaches the insurer, or there is no cover during a trip</t>
  </si>
  <si>
    <t xml:space="preserve">X8; F9</t>
  </si>
  <si>
    <t xml:space="preserve">U1, U2, U3</t>
  </si>
  <si>
    <t xml:space="preserve">Art 9; Art 11</t>
  </si>
  <si>
    <t xml:space="preserve">Art 5(1)(d); Art 9; Art 32</t>
  </si>
  <si>
    <t xml:space="preserve">A.8.26; A.5.34; A.5.30</t>
  </si>
  <si>
    <t xml:space="preserve">Allowance integrity</t>
  </si>
  <si>
    <t xml:space="preserve">Only authorised Finance roles change the rate table, changes are approved and logged, and calculation errors are detected before payment.</t>
  </si>
  <si>
    <t xml:space="preserve">Wrong or fraudulent allowance payments</t>
  </si>
  <si>
    <t xml:space="preserve">X9; F10, F11</t>
  </si>
  <si>
    <t xml:space="preserve">D3, Q1, Q2</t>
  </si>
  <si>
    <t xml:space="preserve">A.8.32; A.5.3</t>
  </si>
  <si>
    <t xml:space="preserve">Allowance tax rules (R10)</t>
  </si>
  <si>
    <t xml:space="preserve">CR-19</t>
  </si>
  <si>
    <t xml:space="preserve">Gifts and loyalty</t>
  </si>
  <si>
    <t xml:space="preserve">Gift orders follow value limits and recipient rules with an audit trail. Loyalty data and discount codes are protected from misuse.</t>
  </si>
  <si>
    <t xml:space="preserve">Improper gifts and loyalty fraud</t>
  </si>
  <si>
    <t xml:space="preserve">S9, S11; F5d</t>
  </si>
  <si>
    <t xml:space="preserve">Q3, Q4, Q5</t>
  </si>
  <si>
    <t xml:space="preserve">A.5.3; A.5.15</t>
  </si>
  <si>
    <t xml:space="preserve">Anti-bribery and gifts policy (R5)</t>
  </si>
  <si>
    <t xml:space="preserve">Card numbers are held only where PCI DSS applies and is attested, cards are single-use with limits, and transactions are reconciled.</t>
  </si>
  <si>
    <t xml:space="preserve">Card misuse or card data exposure</t>
  </si>
  <si>
    <t xml:space="preserve">X11; V3; F12</t>
  </si>
  <si>
    <t xml:space="preserve">P1, P2, P3, P4</t>
  </si>
  <si>
    <t xml:space="preserve">Art 9; Art 28(4)</t>
  </si>
  <si>
    <t xml:space="preserve">A.5.22; A.8.24</t>
  </si>
  <si>
    <t xml:space="preserve">PCI DSS (R7)</t>
  </si>
  <si>
    <t xml:space="preserve">CR-21</t>
  </si>
  <si>
    <t xml:space="preserve">Guest booking control</t>
  </si>
  <si>
    <t xml:space="preserve">Only authorised bookers create guest bookings with sponsor approval, and guest data is minimal and short-lived.</t>
  </si>
  <si>
    <t xml:space="preserve">Unauthorised bookings and uncontrolled guest data</t>
  </si>
  <si>
    <t xml:space="preserve">X10; S5; FG</t>
  </si>
  <si>
    <t xml:space="preserve">F4, I7</t>
  </si>
  <si>
    <t xml:space="preserve">Art 5(1)(c); Art 5(1)(e)</t>
  </si>
  <si>
    <t xml:space="preserve">CR-22</t>
  </si>
  <si>
    <t xml:space="preserve">Approval integrity</t>
  </si>
  <si>
    <t xml:space="preserve">Approval messages are authenticated and cannot be forged or replayed, policy rules are version-controlled, and requesters cannot approve their own trips.</t>
  </si>
  <si>
    <t xml:space="preserve">Unapproved trips or spend</t>
  </si>
  <si>
    <t xml:space="preserve">F3, F6</t>
  </si>
  <si>
    <t xml:space="preserve">F1, F2, F3</t>
  </si>
  <si>
    <t xml:space="preserve">A.8.26; A.5.3</t>
  </si>
  <si>
    <t xml:space="preserve">Assurance evidence</t>
  </si>
  <si>
    <t xml:space="preserve">The vendor provides current independent assurance that covers all modules and sites: SOC 2 with a bridge letter, ISO 27001 scope, penetration test and PCI attestation.</t>
  </si>
  <si>
    <t xml:space="preserve">Reliance on claims or outdated reports</t>
  </si>
  <si>
    <t xml:space="preserve">V1 to V4</t>
  </si>
  <si>
    <t xml:space="preserve">L1, L2, L3</t>
  </si>
  <si>
    <t xml:space="preserve">Art 28(4); Art 30(3)(d)</t>
  </si>
  <si>
    <t xml:space="preserve">Art 28(1); Art 32(1)(d)</t>
  </si>
  <si>
    <t xml:space="preserve">A.5.22; A.8.8; A.8.29</t>
  </si>
  <si>
    <t xml:space="preserve">ISO 27001 and SOC 2 (R8)</t>
  </si>
  <si>
    <t xml:space="preserve">Resilience and incident support</t>
  </si>
  <si>
    <t xml:space="preserve">Recovery targets are met and tested, incidents are notified to the bank within an agreed time, and the vendor assists at no extra cost or a set cost.</t>
  </si>
  <si>
    <t xml:space="preserve">A long outage or a late breach notice</t>
  </si>
  <si>
    <t xml:space="preserve">V5; Tier 1</t>
  </si>
  <si>
    <t xml:space="preserve">M1, M2, N4</t>
  </si>
  <si>
    <t xml:space="preserve">Art 11; Art 12; Art 17; Art 30(2)(e); Art 30(2)(f); Art 30(3)(a)</t>
  </si>
  <si>
    <t xml:space="preserve">Art 32(1)(b); Art 32(1)(c); Art 33(2)</t>
  </si>
  <si>
    <t xml:space="preserve">A.5.24; A.5.26; A.5.30; A.8.13; A.8.14</t>
  </si>
  <si>
    <t xml:space="preserve">The contract contains the DORA Art 30(2) terms and, because the service is Tier 1, the Art 30(3) terms, including audit rights and exit.</t>
  </si>
  <si>
    <t xml:space="preserve">No legal basis to enforce the controls</t>
  </si>
  <si>
    <t xml:space="preserve">R1; Tier 1</t>
  </si>
  <si>
    <t xml:space="preserve">N1, N2, N3, N4, N5, N6, N7</t>
  </si>
  <si>
    <t xml:space="preserve">Art 30(2); Art 30(3); Art 28(7)</t>
  </si>
  <si>
    <t xml:space="preserve">Art 28(3)</t>
  </si>
  <si>
    <t xml:space="preserve">A.5.20</t>
  </si>
  <si>
    <t xml:space="preserve">CR-26</t>
  </si>
  <si>
    <t xml:space="preserve">Tenant isolation</t>
  </si>
  <si>
    <t xml:space="preserve">Customer tenants are logically separated, tested and prevented from accessing each other's data.</t>
  </si>
  <si>
    <t xml:space="preserve">One client sees another client's data</t>
  </si>
  <si>
    <t xml:space="preserve">V12; F4</t>
  </si>
  <si>
    <t xml:space="preserve">I8</t>
  </si>
  <si>
    <t xml:space="preserve">A.8.3; A.8.22</t>
  </si>
  <si>
    <t xml:space="preserve">CR-27</t>
  </si>
  <si>
    <t xml:space="preserve">Architecture transparency</t>
  </si>
  <si>
    <t xml:space="preserve">The vendor documents its edition, interfaces and data flows, keeps them current, and tells the bank about changes.</t>
  </si>
  <si>
    <t xml:space="preserve">The bank assesses a picture that no longer matches reality</t>
  </si>
  <si>
    <t xml:space="preserve">Stage 3; all flows</t>
  </si>
  <si>
    <t xml:space="preserve">A1, A3, E2</t>
  </si>
  <si>
    <t xml:space="preserve">Art 8; Art 28(3); Art 30(2)(a)</t>
  </si>
  <si>
    <t xml:space="preserve">Art 30</t>
  </si>
  <si>
    <t xml:space="preserve">A.5.9; A.8.20</t>
  </si>
  <si>
    <t xml:space="preserve">CR-28</t>
  </si>
  <si>
    <t xml:space="preserve">AI features and model providers are disclosed, bank data is not used for model training unless agreed, and automated actions stay under human control.</t>
  </si>
  <si>
    <t xml:space="preserve">Bank data leaks into models, or automated actions go unchecked</t>
  </si>
  <si>
    <t xml:space="preserve">AI note; V13 (to add in Stage 2)</t>
  </si>
  <si>
    <t xml:space="preserve">W1, W2, W3</t>
  </si>
  <si>
    <t xml:space="preserve">Art 28(3); Art 30(2)(a)</t>
  </si>
  <si>
    <t xml:space="preserve">Art 5(1)(b); Art 28(2)</t>
  </si>
  <si>
    <t xml:space="preserve">A.5.19; A.5.21; A.8.26</t>
  </si>
  <si>
    <t xml:space="preserve">ISO/IEC 42001, EU AI Act (to check)</t>
  </si>
  <si>
    <t xml:space="preserve">Vendor questionnaire</t>
  </si>
  <si>
    <t xml:space="preserve">Vendor</t>
  </si>
  <si>
    <t xml:space="preserve">Vendor X (fictional)</t>
  </si>
  <si>
    <t xml:space="preserve">Assessor</t>
  </si>
  <si>
    <t xml:space="preserve">TPRM learner (author)</t>
  </si>
  <si>
    <t xml:space="preserve">Service reviewed</t>
  </si>
  <si>
    <t xml:space="preserve">Corporate travel management platform, Tier 1</t>
  </si>
  <si>
    <t xml:space="preserve">Date</t>
  </si>
  <si>
    <t xml:space="preserve">4 Oct 2026</t>
  </si>
  <si>
    <t xml:space="preserve">ID</t>
  </si>
  <si>
    <t xml:space="preserve">Question</t>
  </si>
  <si>
    <t xml:space="preserve">Control</t>
  </si>
  <si>
    <t xml:space="preserve">Evidence to request</t>
  </si>
  <si>
    <t xml:space="preserve">Vendor response</t>
  </si>
  <si>
    <t xml:space="preserve">Evidence status</t>
  </si>
  <si>
    <t xml:space="preserve">Assessor notes</t>
  </si>
  <si>
    <t xml:space="preserve">EX</t>
  </si>
  <si>
    <t xml:space="preserve">Is MFA enforced at the IdP for every login?</t>
  </si>
  <si>
    <t xml:space="preserve">FS</t>
  </si>
  <si>
    <t xml:space="preserve">MFA policy export</t>
  </si>
  <si>
    <t xml:space="preserve">Yes. Enforced through conditional access for all users including admins. Two vaulted break-glass accounts are excluded.</t>
  </si>
  <si>
    <t xml:space="preserve">Received</t>
  </si>
  <si>
    <t xml:space="preserve">Policy export dated 15 Sep 2026 reviewed.</t>
  </si>
  <si>
    <t xml:space="preserve">A1</t>
  </si>
  <si>
    <t xml:space="preserve">Is the service multi-tenant SaaS, single-tenant cloud, or self-hosted? Which edition and version are we buying?</t>
  </si>
  <si>
    <t xml:space="preserve">All</t>
  </si>
  <si>
    <t xml:space="preserve">Architecture overview; order form showing edition</t>
  </si>
  <si>
    <t xml:space="preserve">Not requested</t>
  </si>
  <si>
    <t xml:space="preserve">A2</t>
  </si>
  <si>
    <t xml:space="preserve">Which data categories will the service store or process (employee data, passport/ID numbers, financial data)?</t>
  </si>
  <si>
    <t xml:space="preserve">Data inventory; data-flow diagram</t>
  </si>
  <si>
    <t xml:space="preserve">A3</t>
  </si>
  <si>
    <t xml:space="preserve">Which of our systems does the service connect to, and which side initiates each connection?</t>
  </si>
  <si>
    <t xml:space="preserve">Integration diagram showing trust boundaries</t>
  </si>
  <si>
    <t xml:space="preserve">Architecture diagram provided. It shows 10 fourth parties.</t>
  </si>
  <si>
    <t xml:space="preserve">The diagram omits the AI model provider named in W1. EV-10, EV-11. FND-04.</t>
  </si>
  <si>
    <t xml:space="preserve">B1</t>
  </si>
  <si>
    <t xml:space="preserve">Does the service support SAML 2.0 or OIDC with our IdP, and is SSO enforced for all users?</t>
  </si>
  <si>
    <t xml:space="preserve">FS, FG, F10</t>
  </si>
  <si>
    <t xml:space="preserve">SSO configuration screenshot; enforcement setting</t>
  </si>
  <si>
    <t xml:space="preserve">SAML single sign-on is enforced for all customer users. Local password login is disabled.</t>
  </si>
  <si>
    <t xml:space="preserve">Accepted</t>
  </si>
  <si>
    <t xml:space="preserve">EV-05.</t>
  </si>
  <si>
    <t xml:space="preserve">Can local username/password login be disabled for every user, including administrators? Which break-glass accounts exist?</t>
  </si>
  <si>
    <t xml:space="preserve">Setting screenshot; list of exceptions</t>
  </si>
  <si>
    <t xml:space="preserve">Four vendor-side break-glass admin accounts keep local passwords with a TOTP code. The passwords are not stored in a vault.</t>
  </si>
  <si>
    <t xml:space="preserve">EV-05. FND-18.</t>
  </si>
  <si>
    <t xml:space="preserve">B3</t>
  </si>
  <si>
    <t xml:space="preserve">Is MFA enforced at the IdP for every login, and how can we verify it from the service side?</t>
  </si>
  <si>
    <t xml:space="preserve">MFA / conditional access policy export</t>
  </si>
  <si>
    <t xml:space="preserve">MFA is enforced at the bank's IdP. The platform rejects sessions that do not come through SSO.</t>
  </si>
  <si>
    <t xml:space="preserve">B4</t>
  </si>
  <si>
    <t xml:space="preserve">What session timeout, re-authentication and device or network restrictions apply?</t>
  </si>
  <si>
    <t xml:space="preserve">Session policy settings</t>
  </si>
  <si>
    <t xml:space="preserve">C1</t>
  </si>
  <si>
    <t xml:space="preserve">How are accounts created (SCIM, API, manual, self-signup)? Is self-signup disabled?</t>
  </si>
  <si>
    <t xml:space="preserve">FA, FS</t>
  </si>
  <si>
    <t xml:space="preserve">Provisioning configuration; self-signup setting</t>
  </si>
  <si>
    <t xml:space="preserve">When the HRIS or IdP marks a user inactive, how quickly is access removed in the service?</t>
  </si>
  <si>
    <t xml:space="preserve">Leaver test with timestamps</t>
  </si>
  <si>
    <t xml:space="preserve">Login stops when the IdP disables the user. Booking rights are removed at the next nightly sync.</t>
  </si>
  <si>
    <t xml:space="preserve">Leaver test: 19 hours from HR change to removal. EV-14.</t>
  </si>
  <si>
    <t xml:space="preserve">C3</t>
  </si>
  <si>
    <t xml:space="preserve">How are role changes (movers) reflected in groups, roles and entitlements?</t>
  </si>
  <si>
    <t xml:space="preserve">FA</t>
  </si>
  <si>
    <t xml:space="preserve">Group-to-role mapping; sample mover record</t>
  </si>
  <si>
    <t xml:space="preserve">C4</t>
  </si>
  <si>
    <t xml:space="preserve">How are seats assigned and reclaimed, and are dormant accounts reported?</t>
  </si>
  <si>
    <t xml:space="preserve">License report; dormant-account review</t>
  </si>
  <si>
    <t xml:space="preserve">C5</t>
  </si>
  <si>
    <t xml:space="preserve">How often are user access reviews performed, and who signs them off?</t>
  </si>
  <si>
    <t xml:space="preserve">Last access review record</t>
  </si>
  <si>
    <t xml:space="preserve">Vendor admin accounts are reviewed twice a year. The platform cannot report on bank-side booker accounts.</t>
  </si>
  <si>
    <t xml:space="preserve">FND-22 (Low).</t>
  </si>
  <si>
    <t xml:space="preserve">Who holds administrator rights on the vendor side and on our side? Are admin accounts separate, MFA-protected and logged?</t>
  </si>
  <si>
    <t xml:space="preserve">FS, FV</t>
  </si>
  <si>
    <t xml:space="preserve">Admin list; admin role model</t>
  </si>
  <si>
    <t xml:space="preserve">Eight vendor administrators, all with MFA.</t>
  </si>
  <si>
    <t xml:space="preserve">EV-07.</t>
  </si>
  <si>
    <t xml:space="preserve">D2</t>
  </si>
  <si>
    <t xml:space="preserve">Can vendor support staff access our data? Under what approval, time limit and logging?</t>
  </si>
  <si>
    <t xml:space="preserve">FV</t>
  </si>
  <si>
    <t xml:space="preserve">Support access policy; sample access log</t>
  </si>
  <si>
    <t xml:space="preserve">Support staff in Ireland and India have standing read access to production data through the admin tool. All access is logged.</t>
  </si>
  <si>
    <t xml:space="preserve">Rejected</t>
  </si>
  <si>
    <t xml:space="preserve">No just-in-time approval. 22 India-based staff. EV-09. FND-03.</t>
  </si>
  <si>
    <t xml:space="preserve">D3</t>
  </si>
  <si>
    <t xml:space="preserve">Can entitlement rules (grade-based travel rules) be changed only by authorized admins, and are changes logged?</t>
  </si>
  <si>
    <t xml:space="preserve">F10</t>
  </si>
  <si>
    <t xml:space="preserve">Role matrix; change log extract</t>
  </si>
  <si>
    <t xml:space="preserve">Customer admins change entitlement rules in the console. Changes are logged.</t>
  </si>
  <si>
    <t xml:space="preserve">No second approval. See Q1. EV-15. FND-07.</t>
  </si>
  <si>
    <t xml:space="preserve">D4</t>
  </si>
  <si>
    <t xml:space="preserve">Is vendor support access to production data from outside the EU (for example from India) restricted, time-limited and approved case by case?</t>
  </si>
  <si>
    <t xml:space="preserve">No technical restriction by region. A policy asks staff to access data only when needed.</t>
  </si>
  <si>
    <t xml:space="preserve">EV-09. FND-03.</t>
  </si>
  <si>
    <t xml:space="preserve">How is visibility of executive and VIP itineraries restricted, including for vendor staff and for bank booker accounts?</t>
  </si>
  <si>
    <t xml:space="preserve">VIP profile configuration; access test result</t>
  </si>
  <si>
    <t xml:space="preserve">VIP profiles are hidden from standard agents. Support administrators see them unmasked.</t>
  </si>
  <si>
    <t xml:space="preserve">FND-19.</t>
  </si>
  <si>
    <t xml:space="preserve">E1</t>
  </si>
  <si>
    <t xml:space="preserve">Which employee fields are received, and are they limited to the minimum needed?</t>
  </si>
  <si>
    <t xml:space="preserve">FA, F3</t>
  </si>
  <si>
    <t xml:space="preserve">CR-05, CR-12</t>
  </si>
  <si>
    <t xml:space="preserve">Field mapping / data dictionary</t>
  </si>
  <si>
    <t xml:space="preserve">E2</t>
  </si>
  <si>
    <t xml:space="preserve">What method (REST, webhook, SFTP) and direction is used, and who initiates the connection?</t>
  </si>
  <si>
    <t xml:space="preserve">Interface specification</t>
  </si>
  <si>
    <t xml:space="preserve">E3</t>
  </si>
  <si>
    <t xml:space="preserve">How are credentials (API tokens, SFTP keys) stored, scoped and rotated?</t>
  </si>
  <si>
    <t xml:space="preserve">FA, F3, F11</t>
  </si>
  <si>
    <t xml:space="preserve">Key management procedure; rotation records</t>
  </si>
  <si>
    <t xml:space="preserve">Credentials are stored in the cloud provider's key vault and read by the connector at runtime.</t>
  </si>
  <si>
    <t xml:space="preserve">11 named staff can read the secret. EV-06. FND-01.</t>
  </si>
  <si>
    <t xml:space="preserve">E4</t>
  </si>
  <si>
    <t xml:space="preserve">What happens when a sync fails or sends bad data (alerting, retry, reconciliation)?</t>
  </si>
  <si>
    <t xml:space="preserve">Runbook; sample failed-sync alert</t>
  </si>
  <si>
    <t xml:space="preserve">Failed nightly syncs raise an alert to bank IT within 1 hour.</t>
  </si>
  <si>
    <t xml:space="preserve">Sample alert provided. EV-16.</t>
  </si>
  <si>
    <t xml:space="preserve">F1</t>
  </si>
  <si>
    <t xml:space="preserve">How are policy rules defined, approved and version-controlled?</t>
  </si>
  <si>
    <t xml:space="preserve">F3, F4</t>
  </si>
  <si>
    <t xml:space="preserve">Policy configuration; change approvals</t>
  </si>
  <si>
    <t xml:space="preserve">F2</t>
  </si>
  <si>
    <t xml:space="preserve">How is an approval request authenticated so it cannot be forged or replayed?</t>
  </si>
  <si>
    <t xml:space="preserve">Technical description; pen-test finding summary</t>
  </si>
  <si>
    <t xml:space="preserve">F3</t>
  </si>
  <si>
    <t xml:space="preserve">Is segregation of duties enforced (a requester cannot approve their own booking)?</t>
  </si>
  <si>
    <t xml:space="preserve">Test result or configuration evidence</t>
  </si>
  <si>
    <t xml:space="preserve">F4</t>
  </si>
  <si>
    <t xml:space="preserve">How does the platform stop users who are not authorised bookers from creating bookings, and how is the sponsor's approval enforced for guest travel?</t>
  </si>
  <si>
    <t xml:space="preserve">FG</t>
  </si>
  <si>
    <t xml:space="preserve">Role configuration; guest booking workflow test</t>
  </si>
  <si>
    <t xml:space="preserve">G1</t>
  </si>
  <si>
    <t xml:space="preserve">What financial data is sent to our ERP, and does the vendor have only write access to a staging area?</t>
  </si>
  <si>
    <t xml:space="preserve">F7, F11</t>
  </si>
  <si>
    <t xml:space="preserve">Interface spec; ERP role scope</t>
  </si>
  <si>
    <t xml:space="preserve">Invoices go to an SFTP intake queue. The vendor has no write access to the ERP.</t>
  </si>
  <si>
    <t xml:space="preserve">EV-16.</t>
  </si>
  <si>
    <t xml:space="preserve">G2</t>
  </si>
  <si>
    <t xml:space="preserve">How are completeness and integrity checked (reconciliation, duplicate detection)?</t>
  </si>
  <si>
    <t xml:space="preserve">F7</t>
  </si>
  <si>
    <t xml:space="preserve">Sample reconciliation report</t>
  </si>
  <si>
    <t xml:space="preserve">A monthly reconciliation report is produced per cost centre.</t>
  </si>
  <si>
    <t xml:space="preserve">G3</t>
  </si>
  <si>
    <t xml:space="preserve">How are payment details and supplier data protected against tampering?</t>
  </si>
  <si>
    <t xml:space="preserve">F7, F8</t>
  </si>
  <si>
    <t xml:space="preserve">Change control procedure</t>
  </si>
  <si>
    <t xml:space="preserve">G4</t>
  </si>
  <si>
    <t xml:space="preserve">How are invoices sent to our ERP authenticated and protected against tampering (for example signing or mutual TLS)?</t>
  </si>
  <si>
    <t xml:space="preserve">Interface specification; security design</t>
  </si>
  <si>
    <t xml:space="preserve">SFTP with key-based authentication. The files are not digitally signed.</t>
  </si>
  <si>
    <t xml:space="preserve">EV-16. FND-21.</t>
  </si>
  <si>
    <t xml:space="preserve">G5</t>
  </si>
  <si>
    <t xml:space="preserve">How does the vendor detect duplicate or altered invoices before they reach us, and how are changes to its bank details verified with us?</t>
  </si>
  <si>
    <t xml:space="preserve">Procedure; sample control log</t>
  </si>
  <si>
    <t xml:space="preserve">Duplicate invoice numbers are rejected. Changes to the vendor's bank details are accepted by email from its finance contact, with no call-back.</t>
  </si>
  <si>
    <t xml:space="preserve">The bank's accounts payable needs its own call-back control. EV-16. FND-21.</t>
  </si>
  <si>
    <t xml:space="preserve">H1</t>
  </si>
  <si>
    <t xml:space="preserve">Which IP ranges and domains does the vendor use, and how are changes announced so we can allow-list them?</t>
  </si>
  <si>
    <t xml:space="preserve">FA, F3, F6, F11, F7</t>
  </si>
  <si>
    <t xml:space="preserve">IP / domain list; notification process</t>
  </si>
  <si>
    <t xml:space="preserve">Two static source IP addresses, one per region.</t>
  </si>
  <si>
    <t xml:space="preserve">EV-08.</t>
  </si>
  <si>
    <t xml:space="preserve">H2</t>
  </si>
  <si>
    <t xml:space="preserve">Which TLS versions and cipher policy are used? Is mutual TLS available for APIs?</t>
  </si>
  <si>
    <t xml:space="preserve">CR-02, CR-13</t>
  </si>
  <si>
    <t xml:space="preserve">TLS scan report</t>
  </si>
  <si>
    <t xml:space="preserve">H3</t>
  </si>
  <si>
    <t xml:space="preserve">How are APIs authenticated (OAuth, keys), scoped and rate-limited?</t>
  </si>
  <si>
    <t xml:space="preserve">API security documentation</t>
  </si>
  <si>
    <t xml:space="preserve">How is data encrypted at rest and in transit, who manages keys, and is a customer-managed key option available?</t>
  </si>
  <si>
    <t xml:space="preserve">FH</t>
  </si>
  <si>
    <t xml:space="preserve">Encryption standard; key management description</t>
  </si>
  <si>
    <t xml:space="preserve">AES-256 at rest and TLS 1.2 or higher in transit. Customer-managed keys are not offered.</t>
  </si>
  <si>
    <t xml:space="preserve">Acceptable for this tier. EV-21.</t>
  </si>
  <si>
    <t xml:space="preserve">I2</t>
  </si>
  <si>
    <t xml:space="preserve">In which countries and regions is data hosted and backed up? Are there cross-border transfers?</t>
  </si>
  <si>
    <t xml:space="preserve">FV, FN, FL, F5</t>
  </si>
  <si>
    <t xml:space="preserve">Hosting locations; data localization statement</t>
  </si>
  <si>
    <t xml:space="preserve">A transfer register is provided: India for support, and US providers FP9 and FP10, all under standard contractual clauses.</t>
  </si>
  <si>
    <t xml:space="preserve">No transfer impact assessment for India. EV-09, EV-10. FND-03.</t>
  </si>
  <si>
    <t xml:space="preserve">I3</t>
  </si>
  <si>
    <t xml:space="preserve">What are the retention, deletion and return rules at contract end, including backups?</t>
  </si>
  <si>
    <t xml:space="preserve">F4, FG</t>
  </si>
  <si>
    <t xml:space="preserve">Retention schedule; deletion certificate sample</t>
  </si>
  <si>
    <t xml:space="preserve">I4</t>
  </si>
  <si>
    <t xml:space="preserve">How is sensitive personal data (passport, ID, emergency contacts) protected (masking, field-level encryption)?</t>
  </si>
  <si>
    <t xml:space="preserve">F3, F5c, F12</t>
  </si>
  <si>
    <t xml:space="preserve">Data-handling procedure</t>
  </si>
  <si>
    <t xml:space="preserve">Is our data used for development, testing or AI model training?</t>
  </si>
  <si>
    <t xml:space="preserve">Written policy statement; contract clause</t>
  </si>
  <si>
    <t xml:space="preserve">Policy forbids production data in test. Three incidents in 2025 used production snapshots for debugging.</t>
  </si>
  <si>
    <t xml:space="preserve">EV-20. FND-14.</t>
  </si>
  <si>
    <t xml:space="preserve">How are personal data and card data kept out of application logs and monitoring tools?</t>
  </si>
  <si>
    <t xml:space="preserve">FL</t>
  </si>
  <si>
    <t xml:space="preserve">Log redaction standard; sample log extract</t>
  </si>
  <si>
    <t xml:space="preserve">Structured fields are redacted. Free-text fields, including special requests, are not.</t>
  </si>
  <si>
    <t xml:space="preserve">EV-18. FND-13.</t>
  </si>
  <si>
    <t xml:space="preserve">How long is guest data kept after the trip, and how is it deleted?</t>
  </si>
  <si>
    <t xml:space="preserve">Retention schedule; deletion record</t>
  </si>
  <si>
    <t xml:space="preserve">Guest data is kept for 24 months. There is no automatic deletion.</t>
  </si>
  <si>
    <t xml:space="preserve">EV-17. FND-11.</t>
  </si>
  <si>
    <t xml:space="preserve">How is separation between customer tenants enforced and tested?</t>
  </si>
  <si>
    <t xml:space="preserve">Architecture description; test report</t>
  </si>
  <si>
    <t xml:space="preserve">Row-level tenant separation, tested in the annual penetration test.</t>
  </si>
  <si>
    <t xml:space="preserve">EV-03.</t>
  </si>
  <si>
    <t xml:space="preserve">J1</t>
  </si>
  <si>
    <t xml:space="preserve">Are logins, bookings, approvals, admin actions and sync events logged immutably? How long are logs kept?</t>
  </si>
  <si>
    <t xml:space="preserve">Log schema; retention policy</t>
  </si>
  <si>
    <t xml:space="preserve">Immutable logs are kept for 13 months.</t>
  </si>
  <si>
    <t xml:space="preserve">EV-18.</t>
  </si>
  <si>
    <t xml:space="preserve">J2</t>
  </si>
  <si>
    <t xml:space="preserve">Can we export logs to our SIEM in near real time?</t>
  </si>
  <si>
    <t xml:space="preserve">Integration documentation (syslog / API)</t>
  </si>
  <si>
    <t xml:space="preserve">J3</t>
  </si>
  <si>
    <t xml:space="preserve">How are suspicious events detected, and how are we alerted?</t>
  </si>
  <si>
    <t xml:space="preserve">Monitoring and alerting description</t>
  </si>
  <si>
    <t xml:space="preserve">K1</t>
  </si>
  <si>
    <t xml:space="preserve">Who are the subprocessors and fourth parties (hosting, booking suppliers, payment), what data do they get and where?</t>
  </si>
  <si>
    <t xml:space="preserve">F5, F9, F12</t>
  </si>
  <si>
    <t xml:space="preserve">Subprocessor list</t>
  </si>
  <si>
    <t xml:space="preserve">A list of 10 fourth parties is provided.</t>
  </si>
  <si>
    <t xml:space="preserve">The list omits the AI model provider named in W1. EV-10. FND-04.</t>
  </si>
  <si>
    <t xml:space="preserve">K2</t>
  </si>
  <si>
    <t xml:space="preserve">How are subprocessors assessed, and how are we notified of changes?</t>
  </si>
  <si>
    <t xml:space="preserve">FW3</t>
  </si>
  <si>
    <t xml:space="preserve">Vendor management policy; notification clause</t>
  </si>
  <si>
    <t xml:space="preserve">K3</t>
  </si>
  <si>
    <t xml:space="preserve">For each fourth party, which personal data is shared, for what purpose, and is the supplier a processor or an independent controller?</t>
  </si>
  <si>
    <t xml:space="preserve">F5</t>
  </si>
  <si>
    <t xml:space="preserve">Data-sharing register</t>
  </si>
  <si>
    <t xml:space="preserve">A data-sharing register with roles is provided.</t>
  </si>
  <si>
    <t xml:space="preserve">Airlines and the group insurer are shown as processors and are likely independent controllers. Legal check by the DPO. EV-10. FND-12.</t>
  </si>
  <si>
    <t xml:space="preserve">K4</t>
  </si>
  <si>
    <t xml:space="preserve">Does the contract give us advance notice of subprocessor changes and a right to object?</t>
  </si>
  <si>
    <t xml:space="preserve">Contract clause; notification process</t>
  </si>
  <si>
    <t xml:space="preserve">Material subprocessor changes are emailed 30 days ahead. Other changes are posted on a website.</t>
  </si>
  <si>
    <t xml:space="preserve">No right to object for non-material changes. EV-12. FND-12.</t>
  </si>
  <si>
    <t xml:space="preserve">K5</t>
  </si>
  <si>
    <t xml:space="preserve">How do visa agencies and other suppliers delete or return data after the trip?</t>
  </si>
  <si>
    <t xml:space="preserve">F5c</t>
  </si>
  <si>
    <t xml:space="preserve">Supplier deletion terms; sample confirmation</t>
  </si>
  <si>
    <t xml:space="preserve">The vendor deletes its own copies of visa documents after 90 days. The visa agency network keeps copies for 12 months.</t>
  </si>
  <si>
    <t xml:space="preserve">EV-10. FND-12.</t>
  </si>
  <si>
    <t xml:space="preserve">Is there a current SOC 2 Type II or ISO 27001 report whose scope covers this service?</t>
  </si>
  <si>
    <t xml:space="preserve">Report or certificate; bridge letter</t>
  </si>
  <si>
    <t xml:space="preserve">An ISO 27001 certificate and a SOC 2 Type II report are provided.</t>
  </si>
  <si>
    <t xml:space="preserve">SOC 2 period ended 31 Dec 2025 with no bridge letter. SOC 2 excludes visa, gifts and card modules. ISO scope excludes the India support site. EV-01, EV-02. FND-08.</t>
  </si>
  <si>
    <t xml:space="preserve">L2</t>
  </si>
  <si>
    <t xml:space="preserve">When was the last independent penetration test, and what is the remediation status?</t>
  </si>
  <si>
    <t xml:space="preserve">Test summary; remediation tracker</t>
  </si>
  <si>
    <t xml:space="preserve">Independent test in June 2026 covering the connector and APIs. Two high findings fixed, one medium open.</t>
  </si>
  <si>
    <t xml:space="preserve">Summary letter and remediation tracker. EV-03.</t>
  </si>
  <si>
    <t xml:space="preserve">L3</t>
  </si>
  <si>
    <t xml:space="preserve">What are the vulnerability management and patching timelines?</t>
  </si>
  <si>
    <t xml:space="preserve">Vulnerability management policy</t>
  </si>
  <si>
    <t xml:space="preserve">What are the RTO, RPO and uptime SLA, and when was disaster recovery last tested?</t>
  </si>
  <si>
    <t xml:space="preserve">BCP / DR summary; last test report</t>
  </si>
  <si>
    <t xml:space="preserve">Recovery time 4 hours, recovery point 1 hour.</t>
  </si>
  <si>
    <t xml:space="preserve">2025 failover test took 6 hours. No 2026 test. EV-13. FND-10.</t>
  </si>
  <si>
    <t xml:space="preserve">What is the breach notification commitment and process?</t>
  </si>
  <si>
    <t xml:space="preserve">Incident response policy; contract clause</t>
  </si>
  <si>
    <t xml:space="preserve">Customers are told without undue delay and within 72 hours.</t>
  </si>
  <si>
    <t xml:space="preserve">Too slow for the bank's own reporting duties. EV-19. FND-16.</t>
  </si>
  <si>
    <t xml:space="preserve">M3</t>
  </si>
  <si>
    <t xml:space="preserve">What is the exit plan (data export formats, transition support) and our manual fallback if the vendor is unavailable?</t>
  </si>
  <si>
    <t xml:space="preserve">Exit plan; export sample</t>
  </si>
  <si>
    <t xml:space="preserve">A template exit plan exists. Data export is in CSV or JSON within 30 days of request.</t>
  </si>
  <si>
    <t xml:space="preserve">Not tested. EV-12. FND-15.</t>
  </si>
  <si>
    <t xml:space="preserve">N1</t>
  </si>
  <si>
    <t xml:space="preserve">Does the contract fully describe the services, the functions supported, and the conditions for subcontracting?</t>
  </si>
  <si>
    <t xml:space="preserve">Contract and service description</t>
  </si>
  <si>
    <t xml:space="preserve">The contract draft and bank addendum describe the services, functions and subcontracting conditions.</t>
  </si>
  <si>
    <t xml:space="preserve">EV-12.</t>
  </si>
  <si>
    <t xml:space="preserve">N2</t>
  </si>
  <si>
    <t xml:space="preserve">Does the vendor commit to cooperate with our competent and resolution authorities?</t>
  </si>
  <si>
    <t xml:space="preserve">Contract clause</t>
  </si>
  <si>
    <t xml:space="preserve">N3</t>
  </si>
  <si>
    <t xml:space="preserve">What termination rights and minimum notice periods does the contract provide?</t>
  </si>
  <si>
    <t xml:space="preserve">The customer may terminate with 90 days' notice, and immediately on a regulatory instruction.</t>
  </si>
  <si>
    <t xml:space="preserve">N4</t>
  </si>
  <si>
    <t xml:space="preserve">Does the vendor assist with ICT incidents at no extra cost or at a predetermined cost?</t>
  </si>
  <si>
    <t xml:space="preserve">CR-24, CR-25</t>
  </si>
  <si>
    <t xml:space="preserve">Contract clause; price schedule</t>
  </si>
  <si>
    <t xml:space="preserve">Incident assistance is billed at time and materials.</t>
  </si>
  <si>
    <t xml:space="preserve">No rate card. EV-12. FND-16.</t>
  </si>
  <si>
    <t xml:space="preserve">N5</t>
  </si>
  <si>
    <t xml:space="preserve">Does the contract guarantee access to, recovery and return of our data if the vendor becomes insolvent or stops the service?</t>
  </si>
  <si>
    <t xml:space="preserve">Contract clause; escrow or export terms</t>
  </si>
  <si>
    <t xml:space="preserve">Data export is available on request during the notice period. There is no insolvency clause.</t>
  </si>
  <si>
    <t xml:space="preserve">EV-12. FND-15.</t>
  </si>
  <si>
    <t xml:space="preserve">N6</t>
  </si>
  <si>
    <t xml:space="preserve">Will the vendor take part in our security awareness and resilience training where required?</t>
  </si>
  <si>
    <t xml:space="preserve">Does the contract give us rights of access, inspection and audit over the service?</t>
  </si>
  <si>
    <t xml:space="preserve">One remote audit a year. On-site audit only with 60 days' notice and reasonable cause.</t>
  </si>
  <si>
    <t xml:space="preserve">Does not meet the unrestricted audit access expected for a critical service. EV-12. FND-05.</t>
  </si>
  <si>
    <t xml:space="preserve">O1</t>
  </si>
  <si>
    <t xml:space="preserve">Which source IP addresses will the connector use to reach our systems, and are they fixed, documented and announced before any change?</t>
  </si>
  <si>
    <t xml:space="preserve">IP address list; change notification process</t>
  </si>
  <si>
    <t xml:space="preserve">Two static source IP addresses. Changes are announced 30 days ahead.</t>
  </si>
  <si>
    <t xml:space="preserve">Does the connector use mutual TLS or an equivalent strong client authentication for each connection to our systems?</t>
  </si>
  <si>
    <t xml:space="preserve">Interface specification; certificate management procedure</t>
  </si>
  <si>
    <t xml:space="preserve">Mutual TLS is not supported. Short-lived tokens (15 minutes) and IP allow-listing are available.</t>
  </si>
  <si>
    <t xml:space="preserve">Compensating controls in place. FND-09.</t>
  </si>
  <si>
    <t xml:space="preserve">O3</t>
  </si>
  <si>
    <t xml:space="preserve">Where are our credentials for the HR system, HR portal, expense system and ERP stored, and who at the vendor can read them?</t>
  </si>
  <si>
    <t xml:space="preserve">FA, F3, F6, F11</t>
  </si>
  <si>
    <t xml:space="preserve">Secrets management procedure; access list</t>
  </si>
  <si>
    <t xml:space="preserve">Credentials are held in a key vault.</t>
  </si>
  <si>
    <t xml:space="preserve">11 staff have read access and break-glass access has no approval step. EV-06. FND-01.</t>
  </si>
  <si>
    <t xml:space="preserve">How often are these credentials rotated, and can we force immediate rotation or revocation?</t>
  </si>
  <si>
    <t xml:space="preserve">Rotation schedule; revocation test</t>
  </si>
  <si>
    <t xml:space="preserve">Rotation once a year, done manually. Revocation on request within 2 business days.</t>
  </si>
  <si>
    <t xml:space="preserve">EV-06. FND-02.</t>
  </si>
  <si>
    <t xml:space="preserve">O5</t>
  </si>
  <si>
    <t xml:space="preserve">Is the connector a dedicated instance for our bank, and how is it patched, monitored and isolated from other customers?</t>
  </si>
  <si>
    <t xml:space="preserve">Architecture description; patching records</t>
  </si>
  <si>
    <t xml:space="preserve">A dedicated connector instance per client. Patched monthly and monitored 24/7.</t>
  </si>
  <si>
    <t xml:space="preserve">EV-22.</t>
  </si>
  <si>
    <t xml:space="preserve">O6</t>
  </si>
  <si>
    <t xml:space="preserve">How does the connector enforce read-only access and the agreed data fields, and how is this logged?</t>
  </si>
  <si>
    <t xml:space="preserve">Account permissions; field mapping; log sample</t>
  </si>
  <si>
    <t xml:space="preserve">The bank's service account is read-only. The field mapping is fixed and reads are logged.</t>
  </si>
  <si>
    <t xml:space="preserve">O7</t>
  </si>
  <si>
    <t xml:space="preserve">What happens to the connector and our credentials at contract end, and how is deletion evidenced?</t>
  </si>
  <si>
    <t xml:space="preserve">Offboarding procedure; deletion certificate</t>
  </si>
  <si>
    <t xml:space="preserve">Credentials are revoked within 30 days after contract end. A deletion certificate is available on request.</t>
  </si>
  <si>
    <t xml:space="preserve">30 days is too long for a Tier 1 service. FND-15.</t>
  </si>
  <si>
    <t xml:space="preserve">Which party stores or processes card numbers, and does each hold a current PCI DSS attestation that covers this service?</t>
  </si>
  <si>
    <t xml:space="preserve">F12</t>
  </si>
  <si>
    <t xml:space="preserve">Attestations of compliance for the vendor and Card Provider Y</t>
  </si>
  <si>
    <t xml:space="preserve">The platform holds tokens only. Card Provider Y holds the card numbers.</t>
  </si>
  <si>
    <t xml:space="preserve">Attestation provided for Card Provider Y. The vendor's own is due Q1 2027. EV-04. FND-06.</t>
  </si>
  <si>
    <t xml:space="preserve">P2</t>
  </si>
  <si>
    <t xml:space="preserve">Are virtual cards single-use with a spending limit per booking, and who can change the limits?</t>
  </si>
  <si>
    <t xml:space="preserve">Card configuration; limit change log</t>
  </si>
  <si>
    <t xml:space="preserve">Cards are single-use with a limit per booking. Only bank admins change limits.</t>
  </si>
  <si>
    <t xml:space="preserve">EV-23.</t>
  </si>
  <si>
    <t xml:space="preserve">P3</t>
  </si>
  <si>
    <t xml:space="preserve">Does the platform hold full card numbers or only tokens, and how are numbers protected when shown to users?</t>
  </si>
  <si>
    <t xml:space="preserve">Data flow description; screenshots</t>
  </si>
  <si>
    <t xml:space="preserve">Tokens only. The full number is shown to the user in an iframe from Card Provider Y.</t>
  </si>
  <si>
    <t xml:space="preserve">P4</t>
  </si>
  <si>
    <t xml:space="preserve">How are card transactions reconciled to bookings and to the monthly invoice, and how are disputes handled?</t>
  </si>
  <si>
    <t xml:space="preserve">Reconciliation report; dispute procedure</t>
  </si>
  <si>
    <t xml:space="preserve">Card transactions are reconciled to the invoice manually each month.</t>
  </si>
  <si>
    <t xml:space="preserve">No automated matching. FND-06.</t>
  </si>
  <si>
    <t xml:space="preserve">Q1</t>
  </si>
  <si>
    <t xml:space="preserve">Who can change the daily allowance rate table, and how are changes approved, logged and made visible to Finance?</t>
  </si>
  <si>
    <t xml:space="preserve">Finance admins edit the rate table. One person can change and save. Changes are logged.</t>
  </si>
  <si>
    <t xml:space="preserve">No four-eyes control. EV-15. FND-07.</t>
  </si>
  <si>
    <t xml:space="preserve">Q2</t>
  </si>
  <si>
    <t xml:space="preserve">How is the allowance calculated, and how are calculation errors detected before the amount reaches payroll or the expense system?</t>
  </si>
  <si>
    <t xml:space="preserve">F11</t>
  </si>
  <si>
    <t xml:space="preserve">Calculation specification; test cases</t>
  </si>
  <si>
    <t xml:space="preserve">A calculation specification and 12 test cases are provided.</t>
  </si>
  <si>
    <t xml:space="preserve">EV-24.</t>
  </si>
  <si>
    <t xml:space="preserve">Q3</t>
  </si>
  <si>
    <t xml:space="preserve">How are gift and flower orders checked against value limits and recipient restrictions, and how is the audit trail kept?</t>
  </si>
  <si>
    <t xml:space="preserve">F5d</t>
  </si>
  <si>
    <t xml:space="preserve">Workflow configuration; sample audit trail</t>
  </si>
  <si>
    <t xml:space="preserve">Gift orders need approval above a set value. An audit trail is kept.</t>
  </si>
  <si>
    <t xml:space="preserve">Q4</t>
  </si>
  <si>
    <t xml:space="preserve">How are loyalty and frequent flyer numbers stored, and who can see or use them?</t>
  </si>
  <si>
    <t xml:space="preserve">Data handling description; access list</t>
  </si>
  <si>
    <t xml:space="preserve">Loyalty numbers are stored encrypted and are visible to the traveller and the booker.</t>
  </si>
  <si>
    <t xml:space="preserve">No access report. FND-22.</t>
  </si>
  <si>
    <t xml:space="preserve">Q5</t>
  </si>
  <si>
    <t xml:space="preserve">How are discount codes and corporate rates protected from misuse?</t>
  </si>
  <si>
    <t xml:space="preserve">F5a</t>
  </si>
  <si>
    <t xml:space="preserve">Access and usage controls; sample report</t>
  </si>
  <si>
    <t xml:space="preserve">Discount codes are shown only to authorised bookers.</t>
  </si>
  <si>
    <t xml:space="preserve">No usage monitoring. FND-22.</t>
  </si>
  <si>
    <t xml:space="preserve">T1</t>
  </si>
  <si>
    <t xml:space="preserve">Which countries can access or receive personal data (support, subprocessors, suppliers), and what transfer mechanism applies to each?</t>
  </si>
  <si>
    <t xml:space="preserve">Transfer register; transfer assessments</t>
  </si>
  <si>
    <t xml:space="preserve">Countries with access: Ireland, India, the US and visa destination countries.</t>
  </si>
  <si>
    <t xml:space="preserve">See I2. FND-03.</t>
  </si>
  <si>
    <t xml:space="preserve">Can data for a region be kept in that region where local law requires it, for example for staff in Asia or Mexico?</t>
  </si>
  <si>
    <t xml:space="preserve">Hosting options; data residency statement</t>
  </si>
  <si>
    <t xml:space="preserve">Data is hosted only in the EU. There is no regional hosting.</t>
  </si>
  <si>
    <t xml:space="preserve">May conflict with local rules for staff in some regions. FND-20.</t>
  </si>
  <si>
    <t xml:space="preserve">T3</t>
  </si>
  <si>
    <t xml:space="preserve">Can the vendor meet local regulator information and audit requests for the bank's non-EU entities?</t>
  </si>
  <si>
    <t xml:space="preserve">Regulatory cooperation statement; contract clause</t>
  </si>
  <si>
    <t xml:space="preserve">The vendor supports regulator requests through the bank's liaison within 5 business days.</t>
  </si>
  <si>
    <t xml:space="preserve">Which data does the platform send to the group insurer, and how is its accuracy checked (for example matching name and date of birth)?</t>
  </si>
  <si>
    <t xml:space="preserve">F9</t>
  </si>
  <si>
    <t xml:space="preserve">Interface specification; validation rules</t>
  </si>
  <si>
    <t xml:space="preserve">Name, date of birth, passport number and trip dates are sent. Schema validation checks the format.</t>
  </si>
  <si>
    <t xml:space="preserve">EV-25.</t>
  </si>
  <si>
    <t xml:space="preserve">U2</t>
  </si>
  <si>
    <t xml:space="preserve">How are assistance requests and any health information handled, stored and shared with the emergency assistance partner?</t>
  </si>
  <si>
    <t xml:space="preserve">Data handling procedure; retention rule</t>
  </si>
  <si>
    <t xml:space="preserve">Assistance requests are stored at the assistance partner for 24 months.</t>
  </si>
  <si>
    <t xml:space="preserve">May include health information. FND-17.</t>
  </si>
  <si>
    <t xml:space="preserve">U3</t>
  </si>
  <si>
    <t xml:space="preserve">What happens if the insurer interface fails during a trip, and who is alerted?</t>
  </si>
  <si>
    <t xml:space="preserve">Runbook; alert sample</t>
  </si>
  <si>
    <t xml:space="preserve">If the insurer interface fails, the vendor emails the insurer manually.</t>
  </si>
  <si>
    <t xml:space="preserve">FND-17.</t>
  </si>
  <si>
    <t xml:space="preserve">W1</t>
  </si>
  <si>
    <t xml:space="preserve">Does the platform use AI or automated decision features (for example chat assistants, recommendations or automated approvals), and which providers or models are used?</t>
  </si>
  <si>
    <t xml:space="preserve">AI feature inventory; model provider list</t>
  </si>
  <si>
    <t xml:space="preserve">The chat assistant and itinerary suggestions use a third-party model provider hosted in the US.</t>
  </si>
  <si>
    <t xml:space="preserve">The provider is not in the fourth-party list. EV-11. FND-04. Post-freeze change PF-1.</t>
  </si>
  <si>
    <t xml:space="preserve">W2</t>
  </si>
  <si>
    <t xml:space="preserve">Is bank data used to train or improve models, by the vendor or any provider, and can this be switched off contractually?</t>
  </si>
  <si>
    <t xml:space="preserve">Contract clause; data-use statement</t>
  </si>
  <si>
    <t xml:space="preserve">The vendor does not train on customer data. The provider keeps prompts for 30 days for abuse monitoring.</t>
  </si>
  <si>
    <t xml:space="preserve">Free-text prompts may contain personal data. EV-11. FND-04.</t>
  </si>
  <si>
    <t xml:space="preserve">W3</t>
  </si>
  <si>
    <t xml:space="preserve">How are AI outputs checked so that they cannot approve spend or change records without human control?</t>
  </si>
  <si>
    <t xml:space="preserve">AI governance procedure; human-in-the-loop evidence</t>
  </si>
  <si>
    <t xml:space="preserve">AI suggestions never approve spend. A human approval step is enforced.</t>
  </si>
  <si>
    <t xml:space="preserve">EV-11.</t>
  </si>
  <si>
    <t xml:space="preserve">Regulatory map</t>
  </si>
  <si>
    <t xml:space="preserve">DORA = Regulation (EU) 2022/2554. GDPR = Regulation (EU) 2016/679. ISO = ISO/IEC 27001:2022 Annex A. Other uses the Stage 1 regulation IDs. Article-level and indicative only.</t>
  </si>
  <si>
    <t xml:space="preserve">DORA reference</t>
  </si>
  <si>
    <t xml:space="preserve">DORA proportionality</t>
  </si>
  <si>
    <t xml:space="preserve">GDPR reference</t>
  </si>
  <si>
    <t xml:space="preserve">Other reference</t>
  </si>
  <si>
    <t xml:space="preserve">Art 28(4); Art 30(2)(a)</t>
  </si>
  <si>
    <t xml:space="preserve">Baseline</t>
  </si>
  <si>
    <t xml:space="preserve">Art 28(1)</t>
  </si>
  <si>
    <t xml:space="preserve">A.5.21; A.5.23</t>
  </si>
  <si>
    <t xml:space="preserve">Art 8; Art 28(3)</t>
  </si>
  <si>
    <t xml:space="preserve">Art 5(1)(c); Art 30</t>
  </si>
  <si>
    <t xml:space="preserve">A.5.9; A.5.12</t>
  </si>
  <si>
    <t xml:space="preserve">A.5.16; A.8.5</t>
  </si>
  <si>
    <t xml:space="preserve">A.5.17; A.8.5</t>
  </si>
  <si>
    <t xml:space="preserve">A.8.5</t>
  </si>
  <si>
    <t xml:space="preserve">A.8.5; A.8.1</t>
  </si>
  <si>
    <t xml:space="preserve">A.5.16; A.5.18</t>
  </si>
  <si>
    <t xml:space="preserve">A.5.18; A.6.5</t>
  </si>
  <si>
    <t xml:space="preserve">A.5.18</t>
  </si>
  <si>
    <t xml:space="preserve">A.8.2; A.5.15</t>
  </si>
  <si>
    <t xml:space="preserve">A.5.19; A.8.2; A.8.15</t>
  </si>
  <si>
    <t xml:space="preserve">Art 28(3)(b); Arts 44 to 49; Art 32</t>
  </si>
  <si>
    <t xml:space="preserve">Art 30(2)(c)</t>
  </si>
  <si>
    <t xml:space="preserve">Art 5(1)(c)</t>
  </si>
  <si>
    <t xml:space="preserve">A.5.34</t>
  </si>
  <si>
    <t xml:space="preserve">Art 8; Art 9</t>
  </si>
  <si>
    <t xml:space="preserve">A.5.14; A.8.20</t>
  </si>
  <si>
    <t xml:space="preserve">Art 10; Art 11</t>
  </si>
  <si>
    <t xml:space="preserve">A.8.16</t>
  </si>
  <si>
    <t xml:space="preserve">A.8.32</t>
  </si>
  <si>
    <t xml:space="preserve">A.8.26</t>
  </si>
  <si>
    <t xml:space="preserve">A.5.3</t>
  </si>
  <si>
    <t xml:space="preserve">Art 9; Art 30(2)(c)</t>
  </si>
  <si>
    <t xml:space="preserve">A.5.15; A.8.3</t>
  </si>
  <si>
    <t xml:space="preserve">A.8.32; A.8.26</t>
  </si>
  <si>
    <t xml:space="preserve">A.8.26; A.8.24</t>
  </si>
  <si>
    <t xml:space="preserve">A.8.24; A.8.20</t>
  </si>
  <si>
    <t xml:space="preserve">A.8.5; A.8.26</t>
  </si>
  <si>
    <t xml:space="preserve">Art 30(2)(d)</t>
  </si>
  <si>
    <t xml:space="preserve">Art 5(1)(e); Art 28(3)(g)</t>
  </si>
  <si>
    <t xml:space="preserve">A.8.10</t>
  </si>
  <si>
    <t xml:space="preserve">A.5.34; A.8.11</t>
  </si>
  <si>
    <t xml:space="preserve">Art 5(1)(b); Art 28(3)(a)</t>
  </si>
  <si>
    <t xml:space="preserve">A.8.31; A.8.33</t>
  </si>
  <si>
    <t xml:space="preserve">Art 9; Art 10</t>
  </si>
  <si>
    <t xml:space="preserve">A.8.15; A.8.11</t>
  </si>
  <si>
    <t xml:space="preserve">Art 5(1)(e)</t>
  </si>
  <si>
    <t xml:space="preserve">A.8.15</t>
  </si>
  <si>
    <t xml:space="preserve">A.8.15; A.8.16</t>
  </si>
  <si>
    <t xml:space="preserve">Art 33(2)</t>
  </si>
  <si>
    <t xml:space="preserve">Deeper if critical or important</t>
  </si>
  <si>
    <t xml:space="preserve">A.5.19; A.5.21</t>
  </si>
  <si>
    <t xml:space="preserve">Art 28(2)</t>
  </si>
  <si>
    <t xml:space="preserve">A.5.22</t>
  </si>
  <si>
    <t xml:space="preserve">A.5.19; A.5.34</t>
  </si>
  <si>
    <t xml:space="preserve">Art 28(4)</t>
  </si>
  <si>
    <t xml:space="preserve">Art 32(1)(d)</t>
  </si>
  <si>
    <t xml:space="preserve">A.8.8; A.8.29</t>
  </si>
  <si>
    <t xml:space="preserve">A.8.8</t>
  </si>
  <si>
    <t xml:space="preserve">Art 11; Art 12; Art 30(2)(e)</t>
  </si>
  <si>
    <t xml:space="preserve">Art 32(1)(b); Art 32(1)(c)</t>
  </si>
  <si>
    <t xml:space="preserve">A.5.30; A.8.13; A.8.14</t>
  </si>
  <si>
    <t xml:space="preserve">Art 17; Art 30(2)(f)</t>
  </si>
  <si>
    <t xml:space="preserve">A.5.24; A.5.26</t>
  </si>
  <si>
    <t xml:space="preserve">Art 28(7); Art 28(8); Art 30(3)(f)</t>
  </si>
  <si>
    <t xml:space="preserve">A.5.23</t>
  </si>
  <si>
    <t xml:space="preserve">Art 30(2)(a)</t>
  </si>
  <si>
    <t xml:space="preserve">Art 30(2)(g)</t>
  </si>
  <si>
    <t xml:space="preserve">Art 31</t>
  </si>
  <si>
    <t xml:space="preserve">Art 28(7); Art 30(2)(h)</t>
  </si>
  <si>
    <t xml:space="preserve">Art 30(2)(f)</t>
  </si>
  <si>
    <t xml:space="preserve">Art 28(3)(f)</t>
  </si>
  <si>
    <t xml:space="preserve">A.5.20; A.5.26</t>
  </si>
  <si>
    <t xml:space="preserve">Art 30(2)(i)</t>
  </si>
  <si>
    <t xml:space="preserve">A.5.20; A.6.3</t>
  </si>
  <si>
    <t xml:space="preserve">Art 30(3)(e)</t>
  </si>
  <si>
    <t xml:space="preserve">Art 28(3)(h)</t>
  </si>
  <si>
    <t xml:space="preserve">A.8.22; A.8.8</t>
  </si>
  <si>
    <t xml:space="preserve">A.8.3</t>
  </si>
  <si>
    <t xml:space="preserve">A.8.24; A.8.11</t>
  </si>
  <si>
    <t xml:space="preserve">A.5.3; A.8.15</t>
  </si>
  <si>
    <t xml:space="preserve">A.5.34; A.8.3</t>
  </si>
  <si>
    <t xml:space="preserve">A.5.15</t>
  </si>
  <si>
    <t xml:space="preserve">A.5.31</t>
  </si>
  <si>
    <t xml:space="preserve">Art 5(1)(d); Art 32</t>
  </si>
  <si>
    <t xml:space="preserve">A.8.26; A.5.34</t>
  </si>
  <si>
    <t xml:space="preserve">Art 9; Art 32</t>
  </si>
  <si>
    <t xml:space="preserve">Art 11</t>
  </si>
  <si>
    <t xml:space="preserve">A.5.30</t>
  </si>
  <si>
    <t xml:space="preserve">A.5.34; A.8.33</t>
  </si>
  <si>
    <t xml:space="preserve">Art 22 (if individuals are affected)</t>
  </si>
  <si>
    <t xml:space="preserve">ISO 27001 view</t>
  </si>
  <si>
    <t xml:space="preserve">Annex A controls (ISO/IEC 27001:2022) that this assessment tests. This is a coverage view, not a Statement of Applicability for the bank.</t>
  </si>
  <si>
    <t xml:space="preserve">Annex A control</t>
  </si>
  <si>
    <t xml:space="preserve">Title</t>
  </si>
  <si>
    <t xml:space="preserve">Theme</t>
  </si>
  <si>
    <t xml:space="preserve">Evidence expected (first three)</t>
  </si>
  <si>
    <t xml:space="preserve">Segregation of duties</t>
  </si>
  <si>
    <t xml:space="preserve">Organizational</t>
  </si>
  <si>
    <t xml:space="preserve">CR-18, CR-19, CR-21, CR-22, CR-28</t>
  </si>
  <si>
    <t xml:space="preserve">D3, F3, F4, Q1, Q3, W3</t>
  </si>
  <si>
    <t xml:space="preserve">Role matrix; change log extract; Test result or configuration evidence; Role configuration; guest booking workflow test</t>
  </si>
  <si>
    <t xml:space="preserve">A.5.9</t>
  </si>
  <si>
    <t xml:space="preserve">Inventory of information and other associated assets</t>
  </si>
  <si>
    <t xml:space="preserve">CR-12, CR-27</t>
  </si>
  <si>
    <t xml:space="preserve">A2, A3</t>
  </si>
  <si>
    <t xml:space="preserve">Data inventory; data-flow diagram; Integration diagram showing trust boundaries</t>
  </si>
  <si>
    <t xml:space="preserve">A.5.12</t>
  </si>
  <si>
    <t xml:space="preserve">Classification of information</t>
  </si>
  <si>
    <t xml:space="preserve">A.5.14</t>
  </si>
  <si>
    <t xml:space="preserve">Information transfer</t>
  </si>
  <si>
    <t xml:space="preserve">Access control</t>
  </si>
  <si>
    <t xml:space="preserve">CR-05, CR-09, CR-10, CR-11, CR-19, CR-21</t>
  </si>
  <si>
    <t xml:space="preserve">D1, D5, F4, G1, O6, Q5</t>
  </si>
  <si>
    <t xml:space="preserve">Admin list; admin role model; VIP profile configuration; access test result; Role configuration; guest booking workflow test</t>
  </si>
  <si>
    <t xml:space="preserve">A.5.16</t>
  </si>
  <si>
    <t xml:space="preserve">Identity management</t>
  </si>
  <si>
    <t xml:space="preserve">CR-07, CR-08</t>
  </si>
  <si>
    <t xml:space="preserve">B1, C1</t>
  </si>
  <si>
    <t xml:space="preserve">SSO configuration screenshot; enforcement setting; Provisioning configuration; self-signup setting</t>
  </si>
  <si>
    <t xml:space="preserve">Authentication information</t>
  </si>
  <si>
    <t xml:space="preserve">CR-03, CR-04, CR-07</t>
  </si>
  <si>
    <t xml:space="preserve">B2, O3, O4</t>
  </si>
  <si>
    <t xml:space="preserve">Setting screenshot; list of exceptions; Secrets management procedure; access list; Rotation schedule; revocation test</t>
  </si>
  <si>
    <t xml:space="preserve">Access rights</t>
  </si>
  <si>
    <t xml:space="preserve">CR-06, CR-08</t>
  </si>
  <si>
    <t xml:space="preserve">C1, C2, C3, C4, C5, O7</t>
  </si>
  <si>
    <t xml:space="preserve">Provisioning configuration; self-signup setting; Leaver test with timestamps; Group-to-role mapping; sample mover record</t>
  </si>
  <si>
    <t xml:space="preserve">A.5.19</t>
  </si>
  <si>
    <t xml:space="preserve">Information security in supplier relationships</t>
  </si>
  <si>
    <t xml:space="preserve">CR-09, CR-16, CR-28</t>
  </si>
  <si>
    <t xml:space="preserve">D2, K1, K3, W1</t>
  </si>
  <si>
    <t xml:space="preserve">Support access policy; sample access log; Subprocessor list; Data-sharing register</t>
  </si>
  <si>
    <t xml:space="preserve">Addressing information security within supplier agreements</t>
  </si>
  <si>
    <t xml:space="preserve">CR-06, CR-24, CR-25</t>
  </si>
  <si>
    <t xml:space="preserve">N1, N2, N3, N4, N5, N6, O7</t>
  </si>
  <si>
    <t xml:space="preserve">Contract and service description; Contract clause; Contract clause; price schedule</t>
  </si>
  <si>
    <t xml:space="preserve">A.5.21</t>
  </si>
  <si>
    <t xml:space="preserve">Managing information security in the ICT supply chain</t>
  </si>
  <si>
    <t xml:space="preserve">CR-16, CR-27, CR-28</t>
  </si>
  <si>
    <t xml:space="preserve">A1, K1, W1</t>
  </si>
  <si>
    <t xml:space="preserve">Architecture overview; order form showing edition; Subprocessor list; AI feature inventory; model provider list</t>
  </si>
  <si>
    <t xml:space="preserve">Monitoring, review and change management of supplier services</t>
  </si>
  <si>
    <t xml:space="preserve">CR-16, CR-20, CR-23, CR-25</t>
  </si>
  <si>
    <t xml:space="preserve">K2, K4, L1, N7, P1</t>
  </si>
  <si>
    <t xml:space="preserve">Vendor management policy; notification clause; Contract clause; notification process; Report or certificate; bridge letter</t>
  </si>
  <si>
    <t xml:space="preserve">Information security for use of cloud services</t>
  </si>
  <si>
    <t xml:space="preserve">CR-06, CR-14, CR-27</t>
  </si>
  <si>
    <t xml:space="preserve">A1, I2, M3, T1</t>
  </si>
  <si>
    <t xml:space="preserve">Architecture overview; order form showing edition; Hosting locations; data localization statement; Exit plan; export sample</t>
  </si>
  <si>
    <t xml:space="preserve">A.5.24</t>
  </si>
  <si>
    <t xml:space="preserve">Information security incident management planning and preparation</t>
  </si>
  <si>
    <t xml:space="preserve">A.5.26</t>
  </si>
  <si>
    <t xml:space="preserve">Response to information security incidents</t>
  </si>
  <si>
    <t xml:space="preserve">Incident response policy; contract clause; Contract clause; price schedule</t>
  </si>
  <si>
    <t xml:space="preserve">ICT readiness for business continuity</t>
  </si>
  <si>
    <t xml:space="preserve">CR-17, CR-24</t>
  </si>
  <si>
    <t xml:space="preserve">M1, U3</t>
  </si>
  <si>
    <t xml:space="preserve">BCP / DR summary; last test report; Runbook; alert sample</t>
  </si>
  <si>
    <t xml:space="preserve">Legal, statutory, regulatory and contractual requirements</t>
  </si>
  <si>
    <t xml:space="preserve">Privacy and protection of PII</t>
  </si>
  <si>
    <t xml:space="preserve">CR-05, CR-12, CR-14, CR-16, CR-17, CR-19, CR-28</t>
  </si>
  <si>
    <t xml:space="preserve">E1, I2, I4, K3, Q4, T1, T2, U1, U2, W2</t>
  </si>
  <si>
    <t xml:space="preserve">Field mapping / data dictionary; Hosting locations; data localization statement; Data-handling procedure</t>
  </si>
  <si>
    <t xml:space="preserve">A.6.3</t>
  </si>
  <si>
    <t xml:space="preserve">Information security awareness, education and training</t>
  </si>
  <si>
    <t xml:space="preserve">People</t>
  </si>
  <si>
    <t xml:space="preserve">A.6.5</t>
  </si>
  <si>
    <t xml:space="preserve">Responsibilities after termination or change of employment</t>
  </si>
  <si>
    <t xml:space="preserve">A.8.1</t>
  </si>
  <si>
    <t xml:space="preserve">User endpoint devices</t>
  </si>
  <si>
    <t xml:space="preserve">Technological</t>
  </si>
  <si>
    <t xml:space="preserve">A.8.2</t>
  </si>
  <si>
    <t xml:space="preserve">Privileged access rights</t>
  </si>
  <si>
    <t xml:space="preserve">Admin list; admin role model; Support access policy; sample access log</t>
  </si>
  <si>
    <t xml:space="preserve">Information access restriction</t>
  </si>
  <si>
    <t xml:space="preserve">CR-05, CR-10, CR-11, CR-19, CR-20, CR-26</t>
  </si>
  <si>
    <t xml:space="preserve">D5, G1, I8, O6, P2, Q4</t>
  </si>
  <si>
    <t xml:space="preserve">VIP profile configuration; access test result; Interface spec; ERP role scope; Architecture description; test report</t>
  </si>
  <si>
    <t xml:space="preserve">Secure authentication</t>
  </si>
  <si>
    <t xml:space="preserve">CR-02, CR-07</t>
  </si>
  <si>
    <t xml:space="preserve">B1, B2, B3, B4, H3, O2</t>
  </si>
  <si>
    <t xml:space="preserve">SSO configuration screenshot; enforcement setting; Setting screenshot; list of exceptions; MFA / conditional access policy export</t>
  </si>
  <si>
    <t xml:space="preserve">Management of technical vulnerabilities</t>
  </si>
  <si>
    <t xml:space="preserve">CR-05, CR-23</t>
  </si>
  <si>
    <t xml:space="preserve">L2, L3, O5</t>
  </si>
  <si>
    <t xml:space="preserve">Test summary; remediation tracker; Vulnerability management policy; Architecture description; patching records</t>
  </si>
  <si>
    <t xml:space="preserve">Information deletion</t>
  </si>
  <si>
    <t xml:space="preserve">CR-12, CR-16, CR-21</t>
  </si>
  <si>
    <t xml:space="preserve">I3, I7, K5</t>
  </si>
  <si>
    <t xml:space="preserve">Retention schedule; deletion certificate sample; Retention schedule; deletion record; Supplier deletion terms; sample confirmation</t>
  </si>
  <si>
    <t xml:space="preserve">A.8.11</t>
  </si>
  <si>
    <t xml:space="preserve">Data masking</t>
  </si>
  <si>
    <t xml:space="preserve">CR-12, CR-15, CR-17, CR-20</t>
  </si>
  <si>
    <t xml:space="preserve">I4, I6, P3, U2</t>
  </si>
  <si>
    <t xml:space="preserve">Data-handling procedure; Log redaction standard; sample log extract; Data flow description; screenshots</t>
  </si>
  <si>
    <t xml:space="preserve">A.8.13</t>
  </si>
  <si>
    <t xml:space="preserve">Information backup</t>
  </si>
  <si>
    <t xml:space="preserve">A.8.14</t>
  </si>
  <si>
    <t xml:space="preserve">Redundancy of information processing facilities</t>
  </si>
  <si>
    <t xml:space="preserve">Logging</t>
  </si>
  <si>
    <t xml:space="preserve">CR-09, CR-15, CR-19</t>
  </si>
  <si>
    <t xml:space="preserve">D2, D4, I6, J1, J2, Q3</t>
  </si>
  <si>
    <t xml:space="preserve">Support access policy; sample access log; Log redaction standard; sample log extract; Log schema; retention policy</t>
  </si>
  <si>
    <t xml:space="preserve">Monitoring activities</t>
  </si>
  <si>
    <t xml:space="preserve">E4, J2, J3</t>
  </si>
  <si>
    <t xml:space="preserve">Runbook; sample failed-sync alert; Integration documentation (syslog / API); Monitoring and alerting description</t>
  </si>
  <si>
    <t xml:space="preserve">A.8.20</t>
  </si>
  <si>
    <t xml:space="preserve">Networks security</t>
  </si>
  <si>
    <t xml:space="preserve">CR-01, CR-02, CR-13, CR-27</t>
  </si>
  <si>
    <t xml:space="preserve">A3, E2, H1, H2, O1</t>
  </si>
  <si>
    <t xml:space="preserve">Integration diagram showing trust boundaries; Interface specification; IP / domain list; notification process</t>
  </si>
  <si>
    <t xml:space="preserve">A.8.22</t>
  </si>
  <si>
    <t xml:space="preserve">Segregation of networks</t>
  </si>
  <si>
    <t xml:space="preserve">CR-01, CR-05, CR-26</t>
  </si>
  <si>
    <t xml:space="preserve">H1, I8, O1, O5</t>
  </si>
  <si>
    <t xml:space="preserve">IP / domain list; notification process; Architecture description; test report; IP address list; change notification process</t>
  </si>
  <si>
    <t xml:space="preserve">Use of cryptography</t>
  </si>
  <si>
    <t xml:space="preserve">CR-02, CR-03, CR-11, CR-13, CR-20</t>
  </si>
  <si>
    <t xml:space="preserve">E3, G4, H2, I1, O2, O3, P1, P3</t>
  </si>
  <si>
    <t xml:space="preserve">Key management procedure; rotation records; Interface specification; security design; TLS scan report</t>
  </si>
  <si>
    <t xml:space="preserve">Application security requirements</t>
  </si>
  <si>
    <t xml:space="preserve">CR-02, CR-11, CR-17, CR-18, CR-20, CR-22, CR-28</t>
  </si>
  <si>
    <t xml:space="preserve">F2, G2, G3, G4, G5, H3, P4, Q2, U1, W3</t>
  </si>
  <si>
    <t xml:space="preserve">Technical description; pen-test finding summary; Sample reconciliation report; Change control procedure</t>
  </si>
  <si>
    <t xml:space="preserve">A.8.29</t>
  </si>
  <si>
    <t xml:space="preserve">Security testing in development and acceptance</t>
  </si>
  <si>
    <t xml:space="preserve">A.8.31</t>
  </si>
  <si>
    <t xml:space="preserve">Separation of development, test and production environments</t>
  </si>
  <si>
    <t xml:space="preserve">Change management</t>
  </si>
  <si>
    <t xml:space="preserve">CR-11, CR-18, CR-22</t>
  </si>
  <si>
    <t xml:space="preserve">D3, F1, G3, G5, Q1</t>
  </si>
  <si>
    <t xml:space="preserve">Role matrix; change log extract; Policy configuration; change approvals; Change control procedure</t>
  </si>
  <si>
    <t xml:space="preserve">A.8.33</t>
  </si>
  <si>
    <t xml:space="preserve">Test information</t>
  </si>
  <si>
    <t xml:space="preserve">CR-12, CR-28</t>
  </si>
  <si>
    <t xml:space="preserve">I5, W2</t>
  </si>
  <si>
    <t xml:space="preserve">Written policy statement; contract clause; Contract clause; data-use statement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</si>
</sst>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2F3B4C"/>
        <bgColor rgb="FF333300"/>
      </patternFill>
    </fill>
    <fill>
      <patternFill patternType="solid">
        <fgColor rgb="FFEDEDE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F7C1C1"/>
        </patternFill>
      </fill>
    </dxf>
    <dxf>
      <fill>
        <patternFill>
          <bgColor rgb="FFFAC775"/>
        </patternFill>
      </fill>
    </dxf>
    <dxf>
      <fill>
        <patternFill>
          <bgColor rgb="FFC0DD97"/>
        </patternFill>
      </fill>
    </dxf>
    <dxf>
      <fill>
        <patternFill>
          <bgColor rgb="FFE24B4A"/>
        </patternFill>
      </fill>
    </dxf>
    <dxf>
      <fill>
        <patternFill>
          <bgColor rgb="FFF7C1C1"/>
        </patternFill>
      </fill>
    </dxf>
    <dxf>
      <fill>
        <patternFill>
          <bgColor rgb="FFFAC775"/>
        </patternFill>
      </fill>
    </dxf>
    <dxf>
      <fill>
        <patternFill>
          <bgColor rgb="FFC0DD9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0DD97"/>
      <rgbColor rgb="FFFFFF99"/>
      <rgbColor rgb="FF99CCFF"/>
      <rgbColor rgb="FFF7C1C1"/>
      <rgbColor rgb="FFCC99FF"/>
      <rgbColor rgb="FFFAC775"/>
      <rgbColor rgb="FF3366FF"/>
      <rgbColor rgb="FF33CCCC"/>
      <rgbColor rgb="FF99CC00"/>
      <rgbColor rgb="FFFFCC00"/>
      <rgbColor rgb="FFFF9900"/>
      <rgbColor rgb="FFE24B4A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3B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92"/>
  </cols>
  <sheetData>
    <row r="1" customFormat="false" ht="63.75" hidden="false" customHeight="true" outlineLevel="0" collapsed="false">
      <c r="A1" s="2" t="s">
        <v>0</v>
      </c>
    </row>
    <row r="2" customFormat="false" ht="23.25" hidden="false" customHeight="true" outlineLevel="0" collapsed="false">
      <c r="A2" s="3" t="s">
        <v>1</v>
      </c>
      <c r="B2" s="4" t="s">
        <v>2</v>
      </c>
    </row>
    <row r="3" customFormat="false" ht="23.25" hidden="false" customHeight="true" outlineLevel="0" collapsed="false">
      <c r="A3" s="3" t="s">
        <v>3</v>
      </c>
      <c r="B3" s="4" t="s">
        <v>4</v>
      </c>
    </row>
    <row r="4" customFormat="false" ht="23.25" hidden="false" customHeight="true" outlineLevel="0" collapsed="false">
      <c r="A4" s="3" t="s">
        <v>5</v>
      </c>
      <c r="B4" s="4" t="s">
        <v>6</v>
      </c>
    </row>
    <row r="5" customFormat="false" ht="34.5" hidden="false" customHeight="true" outlineLevel="0" collapsed="false">
      <c r="A5" s="3" t="s">
        <v>7</v>
      </c>
      <c r="B5" s="4" t="s">
        <v>8</v>
      </c>
    </row>
    <row r="6" customFormat="false" ht="23.25" hidden="false" customHeight="true" outlineLevel="0" collapsed="false">
      <c r="A6" s="3" t="s">
        <v>9</v>
      </c>
      <c r="B6" s="4" t="s">
        <v>10</v>
      </c>
    </row>
    <row r="7" customFormat="false" ht="15" hidden="false" customHeight="true" outlineLevel="0" collapsed="false">
      <c r="A7" s="3" t="s">
        <v>11</v>
      </c>
      <c r="B7" s="4" t="s">
        <v>12</v>
      </c>
    </row>
    <row r="8" customFormat="false" ht="15" hidden="false" customHeight="true" outlineLevel="0" collapsed="false">
      <c r="A8" s="3" t="s">
        <v>13</v>
      </c>
      <c r="B8" s="4" t="s">
        <v>14</v>
      </c>
    </row>
    <row r="9" customFormat="false" ht="23.25" hidden="false" customHeight="true" outlineLevel="0" collapsed="false">
      <c r="A9" s="3" t="s">
        <v>15</v>
      </c>
      <c r="B9" s="4" t="s">
        <v>16</v>
      </c>
    </row>
    <row r="10" customFormat="false" ht="23.25" hidden="false" customHeight="true" outlineLevel="0" collapsed="false">
      <c r="A10" s="3" t="s">
        <v>17</v>
      </c>
      <c r="B10" s="4" t="s">
        <v>18</v>
      </c>
    </row>
    <row r="11" customFormat="false" ht="34.5" hidden="false" customHeight="true" outlineLevel="0" collapsed="false">
      <c r="A11" s="3" t="s">
        <v>19</v>
      </c>
      <c r="B11" s="4" t="s">
        <v>20</v>
      </c>
    </row>
    <row r="12" customFormat="false" ht="23.25" hidden="false" customHeight="true" outlineLevel="0" collapsed="false">
      <c r="A12" s="3" t="s">
        <v>21</v>
      </c>
      <c r="B12" s="4" t="s">
        <v>22</v>
      </c>
    </row>
    <row r="13" customFormat="false" ht="15" hidden="false" customHeight="true" outlineLevel="0" collapsed="false">
      <c r="A13" s="3" t="s">
        <v>23</v>
      </c>
      <c r="B13" s="4" t="s">
        <v>24</v>
      </c>
    </row>
    <row r="14" customFormat="false" ht="23.85" hidden="false" customHeight="false" outlineLevel="0" collapsed="false">
      <c r="A14" s="3" t="s">
        <v>25</v>
      </c>
      <c r="B14" s="4" t="s">
        <v>26</v>
      </c>
    </row>
    <row r="15" customFormat="false" ht="23.85" hidden="false" customHeight="false" outlineLevel="0" collapsed="false">
      <c r="A15" s="3" t="s">
        <v>27</v>
      </c>
      <c r="B15" s="4" t="s">
        <v>28</v>
      </c>
    </row>
    <row r="16" customFormat="false" ht="15" hidden="false" customHeight="true" outlineLevel="0" collapsed="false">
      <c r="A16" s="5" t="s">
        <v>29</v>
      </c>
      <c r="B16" s="6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1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5" min="5" style="1" width="8"/>
    <col collapsed="false" customWidth="true" hidden="false" outlineLevel="0" max="7" min="6" style="1" width="14"/>
    <col collapsed="false" customWidth="true" hidden="false" outlineLevel="0" max="8" min="8" style="1" width="18"/>
  </cols>
  <sheetData>
    <row r="1" customFormat="false" ht="17.25" hidden="false" customHeight="true" outlineLevel="0" collapsed="false">
      <c r="A1" s="7" t="s">
        <v>31</v>
      </c>
    </row>
    <row r="2" customFormat="false" ht="15" hidden="false" customHeight="true" outlineLevel="0" collapsed="false">
      <c r="A2" s="8" t="s">
        <v>32</v>
      </c>
    </row>
    <row r="4" customFormat="false" ht="15" hidden="false" customHeight="true" outlineLevel="0" collapsed="false">
      <c r="A4" s="9" t="s">
        <v>33</v>
      </c>
      <c r="B4" s="9" t="s">
        <v>34</v>
      </c>
      <c r="C4" s="9" t="s">
        <v>35</v>
      </c>
      <c r="D4" s="9" t="s">
        <v>36</v>
      </c>
      <c r="E4" s="9" t="s">
        <v>37</v>
      </c>
      <c r="F4" s="9" t="s">
        <v>38</v>
      </c>
      <c r="G4" s="9" t="s">
        <v>39</v>
      </c>
      <c r="H4" s="9" t="s">
        <v>40</v>
      </c>
    </row>
    <row r="5" customFormat="false" ht="15" hidden="false" customHeight="true" outlineLevel="0" collapsed="false">
      <c r="A5" s="10" t="s">
        <v>41</v>
      </c>
      <c r="B5" s="10" t="n">
        <f aca="false">COUNTIF(Questionnaire!$B$7:$B$93,$A5)</f>
        <v>3</v>
      </c>
      <c r="C5" s="10" t="n">
        <f aca="false">COUNTIFS(Questionnaire!$B$7:$B$93,$A5,Questionnaire!$I$7:$I$93,"Satisfactory")</f>
        <v>0</v>
      </c>
      <c r="D5" s="10" t="n">
        <f aca="false">COUNTIFS(Questionnaire!$B$7:$B$93,$A5,Questionnaire!$I$7:$I$93,"Partial")</f>
        <v>1</v>
      </c>
      <c r="E5" s="10" t="n">
        <f aca="false">COUNTIFS(Questionnaire!$B$7:$B$93,$A5,Questionnaire!$I$7:$I$93,"Gap")</f>
        <v>0</v>
      </c>
      <c r="F5" s="10" t="n">
        <f aca="false">COUNTIFS(Questionnaire!$B$7:$B$93,$A5,Questionnaire!$I$7:$I$93,"Not applicable")</f>
        <v>0</v>
      </c>
      <c r="G5" s="10" t="n">
        <f aca="false">B5-SUM(C5:F5)</f>
        <v>2</v>
      </c>
      <c r="H5" s="10" t="n">
        <f aca="false">COUNTIFS(Questionnaire!$B$7:$B$93,$A5,Questionnaire!$H$7:$H$93,"Accepted")</f>
        <v>0</v>
      </c>
    </row>
    <row r="6" customFormat="false" ht="15" hidden="false" customHeight="true" outlineLevel="0" collapsed="false">
      <c r="A6" s="10" t="s">
        <v>42</v>
      </c>
      <c r="B6" s="10" t="n">
        <f aca="false">COUNTIF(Questionnaire!$B$7:$B$93,$A6)</f>
        <v>4</v>
      </c>
      <c r="C6" s="10" t="n">
        <f aca="false">COUNTIFS(Questionnaire!$B$7:$B$93,$A6,Questionnaire!$I$7:$I$93,"Satisfactory")</f>
        <v>2</v>
      </c>
      <c r="D6" s="10" t="n">
        <f aca="false">COUNTIFS(Questionnaire!$B$7:$B$93,$A6,Questionnaire!$I$7:$I$93,"Partial")</f>
        <v>1</v>
      </c>
      <c r="E6" s="10" t="n">
        <f aca="false">COUNTIFS(Questionnaire!$B$7:$B$93,$A6,Questionnaire!$I$7:$I$93,"Gap")</f>
        <v>0</v>
      </c>
      <c r="F6" s="10" t="n">
        <f aca="false">COUNTIFS(Questionnaire!$B$7:$B$93,$A6,Questionnaire!$I$7:$I$93,"Not applicable")</f>
        <v>0</v>
      </c>
      <c r="G6" s="10" t="n">
        <f aca="false">B6-SUM(C6:F6)</f>
        <v>1</v>
      </c>
      <c r="H6" s="10" t="n">
        <f aca="false">COUNTIFS(Questionnaire!$B$7:$B$93,$A6,Questionnaire!$H$7:$H$93,"Accepted")</f>
        <v>2</v>
      </c>
    </row>
    <row r="7" customFormat="false" ht="15" hidden="false" customHeight="true" outlineLevel="0" collapsed="false">
      <c r="A7" s="10" t="s">
        <v>43</v>
      </c>
      <c r="B7" s="10" t="n">
        <f aca="false">COUNTIF(Questionnaire!$B$7:$B$93,$A7)</f>
        <v>5</v>
      </c>
      <c r="C7" s="10" t="n">
        <f aca="false">COUNTIFS(Questionnaire!$B$7:$B$93,$A7,Questionnaire!$I$7:$I$93,"Satisfactory")</f>
        <v>1</v>
      </c>
      <c r="D7" s="10" t="n">
        <f aca="false">COUNTIFS(Questionnaire!$B$7:$B$93,$A7,Questionnaire!$I$7:$I$93,"Partial")</f>
        <v>1</v>
      </c>
      <c r="E7" s="10" t="n">
        <f aca="false">COUNTIFS(Questionnaire!$B$7:$B$93,$A7,Questionnaire!$I$7:$I$93,"Gap")</f>
        <v>0</v>
      </c>
      <c r="F7" s="10" t="n">
        <f aca="false">COUNTIFS(Questionnaire!$B$7:$B$93,$A7,Questionnaire!$I$7:$I$93,"Not applicable")</f>
        <v>0</v>
      </c>
      <c r="G7" s="10" t="n">
        <f aca="false">B7-SUM(C7:F7)</f>
        <v>3</v>
      </c>
      <c r="H7" s="10" t="n">
        <f aca="false">COUNTIFS(Questionnaire!$B$7:$B$93,$A7,Questionnaire!$H$7:$H$93,"Accepted")</f>
        <v>1</v>
      </c>
    </row>
    <row r="8" customFormat="false" ht="15" hidden="false" customHeight="true" outlineLevel="0" collapsed="false">
      <c r="A8" s="10" t="s">
        <v>44</v>
      </c>
      <c r="B8" s="10" t="n">
        <f aca="false">COUNTIF(Questionnaire!$B$7:$B$93,$A8)</f>
        <v>5</v>
      </c>
      <c r="C8" s="10" t="n">
        <f aca="false">COUNTIFS(Questionnaire!$B$7:$B$93,$A8,Questionnaire!$I$7:$I$93,"Satisfactory")</f>
        <v>1</v>
      </c>
      <c r="D8" s="10" t="n">
        <f aca="false">COUNTIFS(Questionnaire!$B$7:$B$93,$A8,Questionnaire!$I$7:$I$93,"Partial")</f>
        <v>2</v>
      </c>
      <c r="E8" s="10" t="n">
        <f aca="false">COUNTIFS(Questionnaire!$B$7:$B$93,$A8,Questionnaire!$I$7:$I$93,"Gap")</f>
        <v>2</v>
      </c>
      <c r="F8" s="10" t="n">
        <f aca="false">COUNTIFS(Questionnaire!$B$7:$B$93,$A8,Questionnaire!$I$7:$I$93,"Not applicable")</f>
        <v>0</v>
      </c>
      <c r="G8" s="10" t="n">
        <f aca="false">B8-SUM(C8:F8)</f>
        <v>0</v>
      </c>
      <c r="H8" s="10" t="n">
        <f aca="false">COUNTIFS(Questionnaire!$B$7:$B$93,$A8,Questionnaire!$H$7:$H$93,"Accepted")</f>
        <v>1</v>
      </c>
    </row>
    <row r="9" customFormat="false" ht="15" hidden="false" customHeight="true" outlineLevel="0" collapsed="false">
      <c r="A9" s="10" t="s">
        <v>45</v>
      </c>
      <c r="B9" s="10" t="n">
        <f aca="false">COUNTIF(Questionnaire!$B$7:$B$93,$A9)</f>
        <v>4</v>
      </c>
      <c r="C9" s="10" t="n">
        <f aca="false">COUNTIFS(Questionnaire!$B$7:$B$93,$A9,Questionnaire!$I$7:$I$93,"Satisfactory")</f>
        <v>1</v>
      </c>
      <c r="D9" s="10" t="n">
        <f aca="false">COUNTIFS(Questionnaire!$B$7:$B$93,$A9,Questionnaire!$I$7:$I$93,"Partial")</f>
        <v>1</v>
      </c>
      <c r="E9" s="10" t="n">
        <f aca="false">COUNTIFS(Questionnaire!$B$7:$B$93,$A9,Questionnaire!$I$7:$I$93,"Gap")</f>
        <v>0</v>
      </c>
      <c r="F9" s="10" t="n">
        <f aca="false">COUNTIFS(Questionnaire!$B$7:$B$93,$A9,Questionnaire!$I$7:$I$93,"Not applicable")</f>
        <v>0</v>
      </c>
      <c r="G9" s="10" t="n">
        <f aca="false">B9-SUM(C9:F9)</f>
        <v>2</v>
      </c>
      <c r="H9" s="10" t="n">
        <f aca="false">COUNTIFS(Questionnaire!$B$7:$B$93,$A9,Questionnaire!$H$7:$H$93,"Accepted")</f>
        <v>1</v>
      </c>
    </row>
    <row r="10" customFormat="false" ht="15" hidden="false" customHeight="true" outlineLevel="0" collapsed="false">
      <c r="A10" s="10" t="s">
        <v>46</v>
      </c>
      <c r="B10" s="10" t="n">
        <f aca="false">COUNTIF(Questionnaire!$B$7:$B$93,$A10)</f>
        <v>4</v>
      </c>
      <c r="C10" s="10" t="n">
        <f aca="false">COUNTIFS(Questionnaire!$B$7:$B$93,$A10,Questionnaire!$I$7:$I$93,"Satisfactory")</f>
        <v>0</v>
      </c>
      <c r="D10" s="10" t="n">
        <f aca="false">COUNTIFS(Questionnaire!$B$7:$B$93,$A10,Questionnaire!$I$7:$I$93,"Partial")</f>
        <v>0</v>
      </c>
      <c r="E10" s="10" t="n">
        <f aca="false">COUNTIFS(Questionnaire!$B$7:$B$93,$A10,Questionnaire!$I$7:$I$93,"Gap")</f>
        <v>0</v>
      </c>
      <c r="F10" s="10" t="n">
        <f aca="false">COUNTIFS(Questionnaire!$B$7:$B$93,$A10,Questionnaire!$I$7:$I$93,"Not applicable")</f>
        <v>0</v>
      </c>
      <c r="G10" s="10" t="n">
        <f aca="false">B10-SUM(C10:F10)</f>
        <v>4</v>
      </c>
      <c r="H10" s="10" t="n">
        <f aca="false">COUNTIFS(Questionnaire!$B$7:$B$93,$A10,Questionnaire!$H$7:$H$93,"Accepted")</f>
        <v>0</v>
      </c>
    </row>
    <row r="11" customFormat="false" ht="15" hidden="false" customHeight="true" outlineLevel="0" collapsed="false">
      <c r="A11" s="10" t="s">
        <v>47</v>
      </c>
      <c r="B11" s="10" t="n">
        <f aca="false">COUNTIF(Questionnaire!$B$7:$B$93,$A11)</f>
        <v>5</v>
      </c>
      <c r="C11" s="10" t="n">
        <f aca="false">COUNTIFS(Questionnaire!$B$7:$B$93,$A11,Questionnaire!$I$7:$I$93,"Satisfactory")</f>
        <v>2</v>
      </c>
      <c r="D11" s="10" t="n">
        <f aca="false">COUNTIFS(Questionnaire!$B$7:$B$93,$A11,Questionnaire!$I$7:$I$93,"Partial")</f>
        <v>1</v>
      </c>
      <c r="E11" s="10" t="n">
        <f aca="false">COUNTIFS(Questionnaire!$B$7:$B$93,$A11,Questionnaire!$I$7:$I$93,"Gap")</f>
        <v>1</v>
      </c>
      <c r="F11" s="10" t="n">
        <f aca="false">COUNTIFS(Questionnaire!$B$7:$B$93,$A11,Questionnaire!$I$7:$I$93,"Not applicable")</f>
        <v>0</v>
      </c>
      <c r="G11" s="10" t="n">
        <f aca="false">B11-SUM(C11:F11)</f>
        <v>1</v>
      </c>
      <c r="H11" s="10" t="n">
        <f aca="false">COUNTIFS(Questionnaire!$B$7:$B$93,$A11,Questionnaire!$H$7:$H$93,"Accepted")</f>
        <v>2</v>
      </c>
    </row>
    <row r="12" customFormat="false" ht="15" hidden="false" customHeight="true" outlineLevel="0" collapsed="false">
      <c r="A12" s="10" t="s">
        <v>48</v>
      </c>
      <c r="B12" s="10" t="n">
        <f aca="false">COUNTIF(Questionnaire!$B$7:$B$93,$A12)</f>
        <v>3</v>
      </c>
      <c r="C12" s="10" t="n">
        <f aca="false">COUNTIFS(Questionnaire!$B$7:$B$93,$A12,Questionnaire!$I$7:$I$93,"Satisfactory")</f>
        <v>1</v>
      </c>
      <c r="D12" s="10" t="n">
        <f aca="false">COUNTIFS(Questionnaire!$B$7:$B$93,$A12,Questionnaire!$I$7:$I$93,"Partial")</f>
        <v>0</v>
      </c>
      <c r="E12" s="10" t="n">
        <f aca="false">COUNTIFS(Questionnaire!$B$7:$B$93,$A12,Questionnaire!$I$7:$I$93,"Gap")</f>
        <v>0</v>
      </c>
      <c r="F12" s="10" t="n">
        <f aca="false">COUNTIFS(Questionnaire!$B$7:$B$93,$A12,Questionnaire!$I$7:$I$93,"Not applicable")</f>
        <v>0</v>
      </c>
      <c r="G12" s="10" t="n">
        <f aca="false">B12-SUM(C12:F12)</f>
        <v>2</v>
      </c>
      <c r="H12" s="10" t="n">
        <f aca="false">COUNTIFS(Questionnaire!$B$7:$B$93,$A12,Questionnaire!$H$7:$H$93,"Accepted")</f>
        <v>1</v>
      </c>
    </row>
    <row r="13" customFormat="false" ht="15" hidden="false" customHeight="true" outlineLevel="0" collapsed="false">
      <c r="A13" s="10" t="s">
        <v>49</v>
      </c>
      <c r="B13" s="10" t="n">
        <f aca="false">COUNTIF(Questionnaire!$B$7:$B$93,$A13)</f>
        <v>8</v>
      </c>
      <c r="C13" s="10" t="n">
        <f aca="false">COUNTIFS(Questionnaire!$B$7:$B$93,$A13,Questionnaire!$I$7:$I$93,"Satisfactory")</f>
        <v>2</v>
      </c>
      <c r="D13" s="10" t="n">
        <f aca="false">COUNTIFS(Questionnaire!$B$7:$B$93,$A13,Questionnaire!$I$7:$I$93,"Partial")</f>
        <v>3</v>
      </c>
      <c r="E13" s="10" t="n">
        <f aca="false">COUNTIFS(Questionnaire!$B$7:$B$93,$A13,Questionnaire!$I$7:$I$93,"Gap")</f>
        <v>1</v>
      </c>
      <c r="F13" s="10" t="n">
        <f aca="false">COUNTIFS(Questionnaire!$B$7:$B$93,$A13,Questionnaire!$I$7:$I$93,"Not applicable")</f>
        <v>0</v>
      </c>
      <c r="G13" s="10" t="n">
        <f aca="false">B13-SUM(C13:F13)</f>
        <v>2</v>
      </c>
      <c r="H13" s="10" t="n">
        <f aca="false">COUNTIFS(Questionnaire!$B$7:$B$93,$A13,Questionnaire!$H$7:$H$93,"Accepted")</f>
        <v>2</v>
      </c>
    </row>
    <row r="14" customFormat="false" ht="15" hidden="false" customHeight="true" outlineLevel="0" collapsed="false">
      <c r="A14" s="10" t="s">
        <v>50</v>
      </c>
      <c r="B14" s="10" t="n">
        <f aca="false">COUNTIF(Questionnaire!$B$7:$B$93,$A14)</f>
        <v>3</v>
      </c>
      <c r="C14" s="10" t="n">
        <f aca="false">COUNTIFS(Questionnaire!$B$7:$B$93,$A14,Questionnaire!$I$7:$I$93,"Satisfactory")</f>
        <v>1</v>
      </c>
      <c r="D14" s="10" t="n">
        <f aca="false">COUNTIFS(Questionnaire!$B$7:$B$93,$A14,Questionnaire!$I$7:$I$93,"Partial")</f>
        <v>0</v>
      </c>
      <c r="E14" s="10" t="n">
        <f aca="false">COUNTIFS(Questionnaire!$B$7:$B$93,$A14,Questionnaire!$I$7:$I$93,"Gap")</f>
        <v>0</v>
      </c>
      <c r="F14" s="10" t="n">
        <f aca="false">COUNTIFS(Questionnaire!$B$7:$B$93,$A14,Questionnaire!$I$7:$I$93,"Not applicable")</f>
        <v>0</v>
      </c>
      <c r="G14" s="10" t="n">
        <f aca="false">B14-SUM(C14:F14)</f>
        <v>2</v>
      </c>
      <c r="H14" s="10" t="n">
        <f aca="false">COUNTIFS(Questionnaire!$B$7:$B$93,$A14,Questionnaire!$H$7:$H$93,"Accepted")</f>
        <v>1</v>
      </c>
    </row>
    <row r="15" customFormat="false" ht="15" hidden="false" customHeight="true" outlineLevel="0" collapsed="false">
      <c r="A15" s="10" t="s">
        <v>51</v>
      </c>
      <c r="B15" s="10" t="n">
        <f aca="false">COUNTIF(Questionnaire!$B$7:$B$93,$A15)</f>
        <v>5</v>
      </c>
      <c r="C15" s="10" t="n">
        <f aca="false">COUNTIFS(Questionnaire!$B$7:$B$93,$A15,Questionnaire!$I$7:$I$93,"Satisfactory")</f>
        <v>0</v>
      </c>
      <c r="D15" s="10" t="n">
        <f aca="false">COUNTIFS(Questionnaire!$B$7:$B$93,$A15,Questionnaire!$I$7:$I$93,"Partial")</f>
        <v>4</v>
      </c>
      <c r="E15" s="10" t="n">
        <f aca="false">COUNTIFS(Questionnaire!$B$7:$B$93,$A15,Questionnaire!$I$7:$I$93,"Gap")</f>
        <v>0</v>
      </c>
      <c r="F15" s="10" t="n">
        <f aca="false">COUNTIFS(Questionnaire!$B$7:$B$93,$A15,Questionnaire!$I$7:$I$93,"Not applicable")</f>
        <v>0</v>
      </c>
      <c r="G15" s="10" t="n">
        <f aca="false">B15-SUM(C15:F15)</f>
        <v>1</v>
      </c>
      <c r="H15" s="10" t="n">
        <f aca="false">COUNTIFS(Questionnaire!$B$7:$B$93,$A15,Questionnaire!$H$7:$H$93,"Accepted")</f>
        <v>0</v>
      </c>
    </row>
    <row r="16" customFormat="false" ht="15" hidden="false" customHeight="true" outlineLevel="0" collapsed="false">
      <c r="A16" s="10" t="s">
        <v>52</v>
      </c>
      <c r="B16" s="10" t="n">
        <f aca="false">COUNTIF(Questionnaire!$B$7:$B$93,$A16)</f>
        <v>3</v>
      </c>
      <c r="C16" s="10" t="n">
        <f aca="false">COUNTIFS(Questionnaire!$B$7:$B$93,$A16,Questionnaire!$I$7:$I$93,"Satisfactory")</f>
        <v>1</v>
      </c>
      <c r="D16" s="10" t="n">
        <f aca="false">COUNTIFS(Questionnaire!$B$7:$B$93,$A16,Questionnaire!$I$7:$I$93,"Partial")</f>
        <v>1</v>
      </c>
      <c r="E16" s="10" t="n">
        <f aca="false">COUNTIFS(Questionnaire!$B$7:$B$93,$A16,Questionnaire!$I$7:$I$93,"Gap")</f>
        <v>0</v>
      </c>
      <c r="F16" s="10" t="n">
        <f aca="false">COUNTIFS(Questionnaire!$B$7:$B$93,$A16,Questionnaire!$I$7:$I$93,"Not applicable")</f>
        <v>0</v>
      </c>
      <c r="G16" s="10" t="n">
        <f aca="false">B16-SUM(C16:F16)</f>
        <v>1</v>
      </c>
      <c r="H16" s="10" t="n">
        <f aca="false">COUNTIFS(Questionnaire!$B$7:$B$93,$A16,Questionnaire!$H$7:$H$93,"Accepted")</f>
        <v>1</v>
      </c>
    </row>
    <row r="17" customFormat="false" ht="15" hidden="false" customHeight="true" outlineLevel="0" collapsed="false">
      <c r="A17" s="10" t="s">
        <v>53</v>
      </c>
      <c r="B17" s="10" t="n">
        <f aca="false">COUNTIF(Questionnaire!$B$7:$B$93,$A17)</f>
        <v>3</v>
      </c>
      <c r="C17" s="10" t="n">
        <f aca="false">COUNTIFS(Questionnaire!$B$7:$B$93,$A17,Questionnaire!$I$7:$I$93,"Satisfactory")</f>
        <v>0</v>
      </c>
      <c r="D17" s="10" t="n">
        <f aca="false">COUNTIFS(Questionnaire!$B$7:$B$93,$A17,Questionnaire!$I$7:$I$93,"Partial")</f>
        <v>3</v>
      </c>
      <c r="E17" s="10" t="n">
        <f aca="false">COUNTIFS(Questionnaire!$B$7:$B$93,$A17,Questionnaire!$I$7:$I$93,"Gap")</f>
        <v>0</v>
      </c>
      <c r="F17" s="10" t="n">
        <f aca="false">COUNTIFS(Questionnaire!$B$7:$B$93,$A17,Questionnaire!$I$7:$I$93,"Not applicable")</f>
        <v>0</v>
      </c>
      <c r="G17" s="10" t="n">
        <f aca="false">B17-SUM(C17:F17)</f>
        <v>0</v>
      </c>
      <c r="H17" s="10" t="n">
        <f aca="false">COUNTIFS(Questionnaire!$B$7:$B$93,$A17,Questionnaire!$H$7:$H$93,"Accepted")</f>
        <v>0</v>
      </c>
    </row>
    <row r="18" customFormat="false" ht="15" hidden="false" customHeight="true" outlineLevel="0" collapsed="false">
      <c r="A18" s="10" t="s">
        <v>54</v>
      </c>
      <c r="B18" s="10" t="n">
        <f aca="false">COUNTIF(Questionnaire!$B$7:$B$93,$A18)</f>
        <v>7</v>
      </c>
      <c r="C18" s="10" t="n">
        <f aca="false">COUNTIFS(Questionnaire!$B$7:$B$93,$A18,Questionnaire!$I$7:$I$93,"Satisfactory")</f>
        <v>2</v>
      </c>
      <c r="D18" s="10" t="n">
        <f aca="false">COUNTIFS(Questionnaire!$B$7:$B$93,$A18,Questionnaire!$I$7:$I$93,"Partial")</f>
        <v>2</v>
      </c>
      <c r="E18" s="10" t="n">
        <f aca="false">COUNTIFS(Questionnaire!$B$7:$B$93,$A18,Questionnaire!$I$7:$I$93,"Gap")</f>
        <v>1</v>
      </c>
      <c r="F18" s="10" t="n">
        <f aca="false">COUNTIFS(Questionnaire!$B$7:$B$93,$A18,Questionnaire!$I$7:$I$93,"Not applicable")</f>
        <v>0</v>
      </c>
      <c r="G18" s="10" t="n">
        <f aca="false">B18-SUM(C18:F18)</f>
        <v>2</v>
      </c>
      <c r="H18" s="10" t="n">
        <f aca="false">COUNTIFS(Questionnaire!$B$7:$B$93,$A18,Questionnaire!$H$7:$H$93,"Accepted")</f>
        <v>2</v>
      </c>
    </row>
    <row r="19" customFormat="false" ht="15" hidden="false" customHeight="true" outlineLevel="0" collapsed="false">
      <c r="A19" s="10" t="s">
        <v>55</v>
      </c>
      <c r="B19" s="10" t="n">
        <f aca="false">COUNTIF(Questionnaire!$B$7:$B$93,$A19)</f>
        <v>7</v>
      </c>
      <c r="C19" s="10" t="n">
        <f aca="false">COUNTIFS(Questionnaire!$B$7:$B$93,$A19,Questionnaire!$I$7:$I$93,"Satisfactory")</f>
        <v>3</v>
      </c>
      <c r="D19" s="10" t="n">
        <f aca="false">COUNTIFS(Questionnaire!$B$7:$B$93,$A19,Questionnaire!$I$7:$I$93,"Partial")</f>
        <v>3</v>
      </c>
      <c r="E19" s="10" t="n">
        <f aca="false">COUNTIFS(Questionnaire!$B$7:$B$93,$A19,Questionnaire!$I$7:$I$93,"Gap")</f>
        <v>1</v>
      </c>
      <c r="F19" s="10" t="n">
        <f aca="false">COUNTIFS(Questionnaire!$B$7:$B$93,$A19,Questionnaire!$I$7:$I$93,"Not applicable")</f>
        <v>0</v>
      </c>
      <c r="G19" s="10" t="n">
        <f aca="false">B19-SUM(C19:F19)</f>
        <v>0</v>
      </c>
      <c r="H19" s="10" t="n">
        <f aca="false">COUNTIFS(Questionnaire!$B$7:$B$93,$A19,Questionnaire!$H$7:$H$93,"Accepted")</f>
        <v>3</v>
      </c>
    </row>
    <row r="20" customFormat="false" ht="15" hidden="false" customHeight="true" outlineLevel="0" collapsed="false">
      <c r="A20" s="10" t="s">
        <v>56</v>
      </c>
      <c r="B20" s="10" t="n">
        <f aca="false">COUNTIF(Questionnaire!$B$7:$B$93,$A20)</f>
        <v>4</v>
      </c>
      <c r="C20" s="10" t="n">
        <f aca="false">COUNTIFS(Questionnaire!$B$7:$B$93,$A20,Questionnaire!$I$7:$I$93,"Satisfactory")</f>
        <v>2</v>
      </c>
      <c r="D20" s="10" t="n">
        <f aca="false">COUNTIFS(Questionnaire!$B$7:$B$93,$A20,Questionnaire!$I$7:$I$93,"Partial")</f>
        <v>2</v>
      </c>
      <c r="E20" s="10" t="n">
        <f aca="false">COUNTIFS(Questionnaire!$B$7:$B$93,$A20,Questionnaire!$I$7:$I$93,"Gap")</f>
        <v>0</v>
      </c>
      <c r="F20" s="10" t="n">
        <f aca="false">COUNTIFS(Questionnaire!$B$7:$B$93,$A20,Questionnaire!$I$7:$I$93,"Not applicable")</f>
        <v>0</v>
      </c>
      <c r="G20" s="10" t="n">
        <f aca="false">B20-SUM(C20:F20)</f>
        <v>0</v>
      </c>
      <c r="H20" s="10" t="n">
        <f aca="false">COUNTIFS(Questionnaire!$B$7:$B$93,$A20,Questionnaire!$H$7:$H$93,"Accepted")</f>
        <v>2</v>
      </c>
    </row>
    <row r="21" customFormat="false" ht="15" hidden="false" customHeight="true" outlineLevel="0" collapsed="false">
      <c r="A21" s="10" t="s">
        <v>57</v>
      </c>
      <c r="B21" s="10" t="n">
        <f aca="false">COUNTIF(Questionnaire!$B$7:$B$93,$A21)</f>
        <v>5</v>
      </c>
      <c r="C21" s="10" t="n">
        <f aca="false">COUNTIFS(Questionnaire!$B$7:$B$93,$A21,Questionnaire!$I$7:$I$93,"Satisfactory")</f>
        <v>2</v>
      </c>
      <c r="D21" s="10" t="n">
        <f aca="false">COUNTIFS(Questionnaire!$B$7:$B$93,$A21,Questionnaire!$I$7:$I$93,"Partial")</f>
        <v>2</v>
      </c>
      <c r="E21" s="10" t="n">
        <f aca="false">COUNTIFS(Questionnaire!$B$7:$B$93,$A21,Questionnaire!$I$7:$I$93,"Gap")</f>
        <v>1</v>
      </c>
      <c r="F21" s="10" t="n">
        <f aca="false">COUNTIFS(Questionnaire!$B$7:$B$93,$A21,Questionnaire!$I$7:$I$93,"Not applicable")</f>
        <v>0</v>
      </c>
      <c r="G21" s="10" t="n">
        <f aca="false">B21-SUM(C21:F21)</f>
        <v>0</v>
      </c>
      <c r="H21" s="10" t="n">
        <f aca="false">COUNTIFS(Questionnaire!$B$7:$B$93,$A21,Questionnaire!$H$7:$H$93,"Accepted")</f>
        <v>2</v>
      </c>
    </row>
    <row r="22" customFormat="false" ht="15" hidden="false" customHeight="true" outlineLevel="0" collapsed="false">
      <c r="A22" s="10" t="s">
        <v>58</v>
      </c>
      <c r="B22" s="10" t="n">
        <f aca="false">COUNTIF(Questionnaire!$B$7:$B$93,$A22)</f>
        <v>3</v>
      </c>
      <c r="C22" s="10" t="n">
        <f aca="false">COUNTIFS(Questionnaire!$B$7:$B$93,$A22,Questionnaire!$I$7:$I$93,"Satisfactory")</f>
        <v>1</v>
      </c>
      <c r="D22" s="10" t="n">
        <f aca="false">COUNTIFS(Questionnaire!$B$7:$B$93,$A22,Questionnaire!$I$7:$I$93,"Partial")</f>
        <v>1</v>
      </c>
      <c r="E22" s="10" t="n">
        <f aca="false">COUNTIFS(Questionnaire!$B$7:$B$93,$A22,Questionnaire!$I$7:$I$93,"Gap")</f>
        <v>1</v>
      </c>
      <c r="F22" s="10" t="n">
        <f aca="false">COUNTIFS(Questionnaire!$B$7:$B$93,$A22,Questionnaire!$I$7:$I$93,"Not applicable")</f>
        <v>0</v>
      </c>
      <c r="G22" s="10" t="n">
        <f aca="false">B22-SUM(C22:F22)</f>
        <v>0</v>
      </c>
      <c r="H22" s="10" t="n">
        <f aca="false">COUNTIFS(Questionnaire!$B$7:$B$93,$A22,Questionnaire!$H$7:$H$93,"Accepted")</f>
        <v>1</v>
      </c>
    </row>
    <row r="23" customFormat="false" ht="15" hidden="false" customHeight="true" outlineLevel="0" collapsed="false">
      <c r="A23" s="10" t="s">
        <v>59</v>
      </c>
      <c r="B23" s="10" t="n">
        <f aca="false">COUNTIF(Questionnaire!$B$7:$B$93,$A23)</f>
        <v>3</v>
      </c>
      <c r="C23" s="10" t="n">
        <f aca="false">COUNTIFS(Questionnaire!$B$7:$B$93,$A23,Questionnaire!$I$7:$I$93,"Satisfactory")</f>
        <v>1</v>
      </c>
      <c r="D23" s="10" t="n">
        <f aca="false">COUNTIFS(Questionnaire!$B$7:$B$93,$A23,Questionnaire!$I$7:$I$93,"Partial")</f>
        <v>2</v>
      </c>
      <c r="E23" s="10" t="n">
        <f aca="false">COUNTIFS(Questionnaire!$B$7:$B$93,$A23,Questionnaire!$I$7:$I$93,"Gap")</f>
        <v>0</v>
      </c>
      <c r="F23" s="10" t="n">
        <f aca="false">COUNTIFS(Questionnaire!$B$7:$B$93,$A23,Questionnaire!$I$7:$I$93,"Not applicable")</f>
        <v>0</v>
      </c>
      <c r="G23" s="10" t="n">
        <f aca="false">B23-SUM(C23:F23)</f>
        <v>0</v>
      </c>
      <c r="H23" s="10" t="n">
        <f aca="false">COUNTIFS(Questionnaire!$B$7:$B$93,$A23,Questionnaire!$H$7:$H$93,"Accepted")</f>
        <v>1</v>
      </c>
    </row>
    <row r="24" customFormat="false" ht="15" hidden="false" customHeight="true" outlineLevel="0" collapsed="false">
      <c r="A24" s="10" t="s">
        <v>60</v>
      </c>
      <c r="B24" s="10" t="n">
        <f aca="false">COUNTIF(Questionnaire!$B$7:$B$93,$A24)</f>
        <v>3</v>
      </c>
      <c r="C24" s="10" t="n">
        <f aca="false">COUNTIFS(Questionnaire!$B$7:$B$93,$A24,Questionnaire!$I$7:$I$93,"Satisfactory")</f>
        <v>1</v>
      </c>
      <c r="D24" s="10" t="n">
        <f aca="false">COUNTIFS(Questionnaire!$B$7:$B$93,$A24,Questionnaire!$I$7:$I$93,"Partial")</f>
        <v>2</v>
      </c>
      <c r="E24" s="10" t="n">
        <f aca="false">COUNTIFS(Questionnaire!$B$7:$B$93,$A24,Questionnaire!$I$7:$I$93,"Gap")</f>
        <v>0</v>
      </c>
      <c r="F24" s="10" t="n">
        <f aca="false">COUNTIFS(Questionnaire!$B$7:$B$93,$A24,Questionnaire!$I$7:$I$93,"Not applicable")</f>
        <v>0</v>
      </c>
      <c r="G24" s="10" t="n">
        <f aca="false">B24-SUM(C24:F24)</f>
        <v>0</v>
      </c>
      <c r="H24" s="10" t="n">
        <f aca="false">COUNTIFS(Questionnaire!$B$7:$B$93,$A24,Questionnaire!$H$7:$H$93,"Accepted")</f>
        <v>1</v>
      </c>
    </row>
    <row r="25" customFormat="false" ht="15" hidden="false" customHeight="true" outlineLevel="0" collapsed="false">
      <c r="A25" s="11" t="s">
        <v>61</v>
      </c>
      <c r="B25" s="11" t="n">
        <f aca="false">SUM(B5:B24)</f>
        <v>87</v>
      </c>
      <c r="C25" s="11" t="n">
        <f aca="false">SUM(C5:C24)</f>
        <v>24</v>
      </c>
      <c r="D25" s="11" t="n">
        <f aca="false">SUM(D5:D24)</f>
        <v>32</v>
      </c>
      <c r="E25" s="11" t="n">
        <f aca="false">SUM(E5:E24)</f>
        <v>8</v>
      </c>
      <c r="F25" s="11" t="n">
        <f aca="false">SUM(F5:F24)</f>
        <v>0</v>
      </c>
      <c r="G25" s="11" t="n">
        <f aca="false">SUM(G5:G24)</f>
        <v>23</v>
      </c>
      <c r="H25" s="11" t="n">
        <f aca="false">SUM(H5:H24)</f>
        <v>24</v>
      </c>
    </row>
    <row r="28" customFormat="false" ht="15" hidden="false" customHeight="false" outlineLevel="0" collapsed="false">
      <c r="A28" s="12" t="s">
        <v>62</v>
      </c>
    </row>
    <row r="29" customFormat="false" ht="15" hidden="false" customHeight="false" outlineLevel="0" collapsed="false">
      <c r="A29" s="13" t="s">
        <v>63</v>
      </c>
      <c r="B29" s="13" t="n">
        <f aca="false">COUNTIF(Findings!$C$5:$C$26,"High")</f>
        <v>5</v>
      </c>
    </row>
    <row r="30" customFormat="false" ht="15" hidden="false" customHeight="false" outlineLevel="0" collapsed="false">
      <c r="A30" s="13" t="s">
        <v>64</v>
      </c>
      <c r="B30" s="13" t="n">
        <f aca="false">COUNTIF(Findings!$C$5:$C$26,"Medium")</f>
        <v>16</v>
      </c>
    </row>
    <row r="31" customFormat="false" ht="15" hidden="false" customHeight="false" outlineLevel="0" collapsed="false">
      <c r="A31" s="13" t="s">
        <v>65</v>
      </c>
      <c r="B31" s="13" t="n">
        <f aca="false">COUNTIF(Findings!$C$5:$C$26,"Low")</f>
        <v>1</v>
      </c>
    </row>
    <row r="32" customFormat="false" ht="15" hidden="false" customHeight="false" outlineLevel="0" collapsed="false">
      <c r="A32" s="12" t="s">
        <v>61</v>
      </c>
      <c r="B32" s="12" t="n">
        <f aca="false">SUM(B29:B31)</f>
        <v>22</v>
      </c>
    </row>
    <row r="35" customFormat="false" ht="15" hidden="false" customHeight="false" outlineLevel="0" collapsed="false">
      <c r="A35" s="12" t="s">
        <v>66</v>
      </c>
    </row>
    <row r="36" customFormat="false" ht="15" hidden="false" customHeight="false" outlineLevel="0" collapsed="false">
      <c r="A36" s="14" t="s">
        <v>67</v>
      </c>
      <c r="B36" s="14" t="s">
        <v>68</v>
      </c>
      <c r="C36" s="14" t="s">
        <v>69</v>
      </c>
      <c r="D36" s="14" t="s">
        <v>70</v>
      </c>
    </row>
    <row r="37" customFormat="false" ht="15" hidden="false" customHeight="false" outlineLevel="0" collapsed="false">
      <c r="A37" s="13" t="s">
        <v>71</v>
      </c>
      <c r="B37" s="13" t="n">
        <f aca="false">'Risk register'!G26</f>
        <v>2</v>
      </c>
      <c r="C37" s="13" t="n">
        <f aca="false">'Risk register'!K26</f>
        <v>2</v>
      </c>
      <c r="D37" s="13" t="n">
        <f aca="false">'Risk register'!O26</f>
        <v>0</v>
      </c>
    </row>
    <row r="38" customFormat="false" ht="15" hidden="false" customHeight="false" outlineLevel="0" collapsed="false">
      <c r="A38" s="13" t="s">
        <v>63</v>
      </c>
      <c r="B38" s="13" t="n">
        <f aca="false">'Risk register'!G27</f>
        <v>9</v>
      </c>
      <c r="C38" s="13" t="n">
        <f aca="false">'Risk register'!K27</f>
        <v>4</v>
      </c>
      <c r="D38" s="13" t="n">
        <f aca="false">'Risk register'!O27</f>
        <v>0</v>
      </c>
    </row>
    <row r="39" customFormat="false" ht="15" hidden="false" customHeight="false" outlineLevel="0" collapsed="false">
      <c r="A39" s="13" t="s">
        <v>64</v>
      </c>
      <c r="B39" s="13" t="n">
        <f aca="false">'Risk register'!G28</f>
        <v>6</v>
      </c>
      <c r="C39" s="13" t="n">
        <f aca="false">'Risk register'!K28</f>
        <v>11</v>
      </c>
      <c r="D39" s="13" t="n">
        <f aca="false">'Risk register'!O28</f>
        <v>10</v>
      </c>
    </row>
    <row r="40" customFormat="false" ht="15" hidden="false" customHeight="false" outlineLevel="0" collapsed="false">
      <c r="A40" s="13" t="s">
        <v>65</v>
      </c>
      <c r="B40" s="13" t="n">
        <f aca="false">'Risk register'!G29</f>
        <v>0</v>
      </c>
      <c r="C40" s="13" t="n">
        <f aca="false">'Risk register'!K29</f>
        <v>0</v>
      </c>
      <c r="D40" s="13" t="n">
        <f aca="false">'Risk register'!O29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5" min="4" style="0" width="16"/>
    <col collapsed="false" customWidth="true" hidden="false" outlineLevel="0" max="6" min="6" style="0" width="9"/>
    <col collapsed="false" customWidth="true" hidden="false" outlineLevel="0" max="8" min="7" style="0" width="16"/>
    <col collapsed="false" customWidth="true" hidden="false" outlineLevel="0" max="9" min="9" style="0" width="52"/>
    <col collapsed="false" customWidth="true" hidden="false" outlineLevel="0" max="10" min="10" style="0" width="48"/>
    <col collapsed="false" customWidth="true" hidden="false" outlineLevel="0" max="11" min="11" style="0" width="11"/>
    <col collapsed="false" customWidth="true" hidden="false" outlineLevel="0" max="12" min="12" style="0" width="14"/>
  </cols>
  <sheetData>
    <row r="1" customFormat="false" ht="17.35" hidden="false" customHeight="false" outlineLevel="0" collapsed="false">
      <c r="A1" s="15" t="s">
        <v>72</v>
      </c>
    </row>
    <row r="2" customFormat="false" ht="15" hidden="false" customHeight="false" outlineLevel="0" collapsed="false">
      <c r="A2" s="16" t="s">
        <v>73</v>
      </c>
    </row>
    <row r="4" customFormat="false" ht="23.85" hidden="false" customHeight="false" outlineLevel="0" collapsed="false">
      <c r="A4" s="9" t="s">
        <v>74</v>
      </c>
      <c r="B4" s="9" t="s">
        <v>75</v>
      </c>
      <c r="C4" s="9" t="s">
        <v>76</v>
      </c>
      <c r="D4" s="9" t="s">
        <v>34</v>
      </c>
      <c r="E4" s="9" t="s">
        <v>77</v>
      </c>
      <c r="F4" s="9" t="s">
        <v>78</v>
      </c>
      <c r="G4" s="9" t="s">
        <v>79</v>
      </c>
      <c r="H4" s="9" t="s">
        <v>80</v>
      </c>
      <c r="I4" s="9" t="s">
        <v>81</v>
      </c>
      <c r="J4" s="9" t="s">
        <v>82</v>
      </c>
      <c r="K4" s="9" t="s">
        <v>83</v>
      </c>
      <c r="L4" s="9" t="s">
        <v>84</v>
      </c>
    </row>
    <row r="5" customFormat="false" ht="23.85" hidden="false" customHeight="false" outlineLevel="0" collapsed="false">
      <c r="A5" s="17" t="s">
        <v>85</v>
      </c>
      <c r="B5" s="18" t="s">
        <v>86</v>
      </c>
      <c r="C5" s="18" t="s">
        <v>63</v>
      </c>
      <c r="D5" s="18" t="s">
        <v>87</v>
      </c>
      <c r="E5" s="18" t="s">
        <v>88</v>
      </c>
      <c r="F5" s="18" t="s">
        <v>89</v>
      </c>
      <c r="G5" s="18" t="s">
        <v>90</v>
      </c>
      <c r="H5" s="18" t="s">
        <v>91</v>
      </c>
      <c r="I5" s="18" t="s">
        <v>92</v>
      </c>
      <c r="J5" s="18" t="s">
        <v>93</v>
      </c>
      <c r="K5" s="18" t="s">
        <v>94</v>
      </c>
      <c r="L5" s="19" t="s">
        <v>95</v>
      </c>
    </row>
    <row r="6" customFormat="false" ht="23.85" hidden="false" customHeight="false" outlineLevel="0" collapsed="false">
      <c r="A6" s="17" t="s">
        <v>96</v>
      </c>
      <c r="B6" s="18" t="s">
        <v>97</v>
      </c>
      <c r="C6" s="18" t="s">
        <v>63</v>
      </c>
      <c r="D6" s="18" t="s">
        <v>98</v>
      </c>
      <c r="E6" s="18" t="s">
        <v>99</v>
      </c>
      <c r="F6" s="18" t="s">
        <v>89</v>
      </c>
      <c r="G6" s="18" t="s">
        <v>90</v>
      </c>
      <c r="H6" s="18" t="s">
        <v>91</v>
      </c>
      <c r="I6" s="18" t="s">
        <v>100</v>
      </c>
      <c r="J6" s="18" t="s">
        <v>101</v>
      </c>
      <c r="K6" s="18" t="s">
        <v>102</v>
      </c>
      <c r="L6" s="19" t="s">
        <v>95</v>
      </c>
    </row>
    <row r="7" customFormat="false" ht="35.05" hidden="false" customHeight="false" outlineLevel="0" collapsed="false">
      <c r="A7" s="17" t="s">
        <v>103</v>
      </c>
      <c r="B7" s="18" t="s">
        <v>104</v>
      </c>
      <c r="C7" s="18" t="s">
        <v>63</v>
      </c>
      <c r="D7" s="18" t="s">
        <v>105</v>
      </c>
      <c r="E7" s="18" t="s">
        <v>106</v>
      </c>
      <c r="F7" s="18" t="s">
        <v>107</v>
      </c>
      <c r="G7" s="18" t="s">
        <v>108</v>
      </c>
      <c r="H7" s="18" t="s">
        <v>109</v>
      </c>
      <c r="I7" s="18" t="s">
        <v>110</v>
      </c>
      <c r="J7" s="18" t="s">
        <v>111</v>
      </c>
      <c r="K7" s="18" t="s">
        <v>112</v>
      </c>
      <c r="L7" s="19" t="s">
        <v>95</v>
      </c>
    </row>
    <row r="8" customFormat="false" ht="35.05" hidden="false" customHeight="false" outlineLevel="0" collapsed="false">
      <c r="A8" s="17" t="s">
        <v>113</v>
      </c>
      <c r="B8" s="18" t="s">
        <v>114</v>
      </c>
      <c r="C8" s="18" t="s">
        <v>63</v>
      </c>
      <c r="D8" s="18" t="s">
        <v>115</v>
      </c>
      <c r="E8" s="18" t="s">
        <v>116</v>
      </c>
      <c r="F8" s="18" t="s">
        <v>117</v>
      </c>
      <c r="G8" s="18" t="s">
        <v>118</v>
      </c>
      <c r="H8" s="18" t="s">
        <v>119</v>
      </c>
      <c r="I8" s="18" t="s">
        <v>120</v>
      </c>
      <c r="J8" s="18" t="s">
        <v>121</v>
      </c>
      <c r="K8" s="18" t="s">
        <v>122</v>
      </c>
      <c r="L8" s="19" t="s">
        <v>95</v>
      </c>
    </row>
    <row r="9" customFormat="false" ht="35.05" hidden="false" customHeight="false" outlineLevel="0" collapsed="false">
      <c r="A9" s="17" t="s">
        <v>123</v>
      </c>
      <c r="B9" s="18" t="s">
        <v>124</v>
      </c>
      <c r="C9" s="18" t="s">
        <v>63</v>
      </c>
      <c r="D9" s="18" t="s">
        <v>125</v>
      </c>
      <c r="E9" s="18" t="s">
        <v>126</v>
      </c>
      <c r="F9" s="18" t="s">
        <v>127</v>
      </c>
      <c r="G9" s="18" t="s">
        <v>128</v>
      </c>
      <c r="H9" s="18" t="s">
        <v>129</v>
      </c>
      <c r="I9" s="18" t="s">
        <v>130</v>
      </c>
      <c r="J9" s="18" t="s">
        <v>131</v>
      </c>
      <c r="K9" s="18" t="s">
        <v>132</v>
      </c>
      <c r="L9" s="19" t="s">
        <v>95</v>
      </c>
    </row>
    <row r="10" customFormat="false" ht="23.85" hidden="false" customHeight="false" outlineLevel="0" collapsed="false">
      <c r="A10" s="17" t="s">
        <v>133</v>
      </c>
      <c r="B10" s="18" t="s">
        <v>134</v>
      </c>
      <c r="C10" s="18" t="s">
        <v>64</v>
      </c>
      <c r="D10" s="18" t="s">
        <v>135</v>
      </c>
      <c r="E10" s="18" t="s">
        <v>136</v>
      </c>
      <c r="F10" s="18" t="s">
        <v>137</v>
      </c>
      <c r="G10" s="18" t="s">
        <v>138</v>
      </c>
      <c r="H10" s="18" t="s">
        <v>139</v>
      </c>
      <c r="I10" s="18" t="s">
        <v>140</v>
      </c>
      <c r="J10" s="18" t="s">
        <v>141</v>
      </c>
      <c r="K10" s="18" t="s">
        <v>142</v>
      </c>
      <c r="L10" s="19" t="s">
        <v>95</v>
      </c>
    </row>
    <row r="11" customFormat="false" ht="23.85" hidden="false" customHeight="false" outlineLevel="0" collapsed="false">
      <c r="A11" s="17" t="s">
        <v>143</v>
      </c>
      <c r="B11" s="18" t="s">
        <v>144</v>
      </c>
      <c r="C11" s="18" t="s">
        <v>64</v>
      </c>
      <c r="D11" s="18" t="s">
        <v>145</v>
      </c>
      <c r="E11" s="18" t="s">
        <v>146</v>
      </c>
      <c r="F11" s="18" t="s">
        <v>147</v>
      </c>
      <c r="G11" s="18" t="s">
        <v>148</v>
      </c>
      <c r="H11" s="18" t="s">
        <v>149</v>
      </c>
      <c r="I11" s="18" t="s">
        <v>150</v>
      </c>
      <c r="J11" s="18" t="s">
        <v>151</v>
      </c>
      <c r="K11" s="18" t="s">
        <v>152</v>
      </c>
      <c r="L11" s="19" t="s">
        <v>95</v>
      </c>
    </row>
    <row r="12" customFormat="false" ht="35.05" hidden="false" customHeight="false" outlineLevel="0" collapsed="false">
      <c r="A12" s="17" t="s">
        <v>153</v>
      </c>
      <c r="B12" s="18" t="s">
        <v>154</v>
      </c>
      <c r="C12" s="18" t="s">
        <v>64</v>
      </c>
      <c r="D12" s="18" t="s">
        <v>155</v>
      </c>
      <c r="E12" s="18" t="s">
        <v>156</v>
      </c>
      <c r="F12" s="18" t="s">
        <v>157</v>
      </c>
      <c r="G12" s="18" t="s">
        <v>158</v>
      </c>
      <c r="H12" s="18" t="s">
        <v>159</v>
      </c>
      <c r="I12" s="18" t="s">
        <v>160</v>
      </c>
      <c r="J12" s="18" t="s">
        <v>161</v>
      </c>
      <c r="K12" s="18" t="s">
        <v>162</v>
      </c>
      <c r="L12" s="19" t="s">
        <v>95</v>
      </c>
    </row>
    <row r="13" customFormat="false" ht="23.85" hidden="false" customHeight="false" outlineLevel="0" collapsed="false">
      <c r="A13" s="17" t="s">
        <v>163</v>
      </c>
      <c r="B13" s="18" t="s">
        <v>164</v>
      </c>
      <c r="C13" s="18" t="s">
        <v>64</v>
      </c>
      <c r="D13" s="18" t="s">
        <v>165</v>
      </c>
      <c r="E13" s="18" t="s">
        <v>166</v>
      </c>
      <c r="F13" s="18" t="s">
        <v>89</v>
      </c>
      <c r="G13" s="18" t="s">
        <v>167</v>
      </c>
      <c r="H13" s="18" t="s">
        <v>168</v>
      </c>
      <c r="I13" s="18" t="s">
        <v>169</v>
      </c>
      <c r="J13" s="18" t="s">
        <v>170</v>
      </c>
      <c r="K13" s="18" t="s">
        <v>171</v>
      </c>
      <c r="L13" s="19" t="s">
        <v>95</v>
      </c>
    </row>
    <row r="14" customFormat="false" ht="23.85" hidden="false" customHeight="false" outlineLevel="0" collapsed="false">
      <c r="A14" s="17" t="s">
        <v>172</v>
      </c>
      <c r="B14" s="18" t="s">
        <v>173</v>
      </c>
      <c r="C14" s="18" t="s">
        <v>64</v>
      </c>
      <c r="D14" s="18" t="s">
        <v>174</v>
      </c>
      <c r="E14" s="18" t="s">
        <v>175</v>
      </c>
      <c r="F14" s="18" t="s">
        <v>176</v>
      </c>
      <c r="G14" s="18" t="s">
        <v>177</v>
      </c>
      <c r="H14" s="18" t="s">
        <v>178</v>
      </c>
      <c r="I14" s="18" t="s">
        <v>179</v>
      </c>
      <c r="J14" s="18" t="s">
        <v>180</v>
      </c>
      <c r="K14" s="18" t="s">
        <v>181</v>
      </c>
      <c r="L14" s="19" t="s">
        <v>95</v>
      </c>
    </row>
    <row r="15" customFormat="false" ht="15" hidden="false" customHeight="false" outlineLevel="0" collapsed="false">
      <c r="A15" s="17" t="s">
        <v>182</v>
      </c>
      <c r="B15" s="18" t="s">
        <v>183</v>
      </c>
      <c r="C15" s="18" t="s">
        <v>64</v>
      </c>
      <c r="D15" s="18" t="s">
        <v>184</v>
      </c>
      <c r="E15" s="18" t="s">
        <v>185</v>
      </c>
      <c r="F15" s="18" t="s">
        <v>186</v>
      </c>
      <c r="G15" s="18" t="s">
        <v>187</v>
      </c>
      <c r="H15" s="18" t="s">
        <v>188</v>
      </c>
      <c r="I15" s="18" t="s">
        <v>189</v>
      </c>
      <c r="J15" s="18" t="s">
        <v>190</v>
      </c>
      <c r="K15" s="18" t="s">
        <v>191</v>
      </c>
      <c r="L15" s="19" t="s">
        <v>95</v>
      </c>
    </row>
    <row r="16" customFormat="false" ht="35.05" hidden="false" customHeight="false" outlineLevel="0" collapsed="false">
      <c r="A16" s="17" t="s">
        <v>192</v>
      </c>
      <c r="B16" s="18" t="s">
        <v>193</v>
      </c>
      <c r="C16" s="18" t="s">
        <v>64</v>
      </c>
      <c r="D16" s="18" t="s">
        <v>194</v>
      </c>
      <c r="E16" s="18" t="s">
        <v>195</v>
      </c>
      <c r="F16" s="18" t="s">
        <v>196</v>
      </c>
      <c r="G16" s="18" t="s">
        <v>197</v>
      </c>
      <c r="H16" s="18" t="s">
        <v>198</v>
      </c>
      <c r="I16" s="18" t="s">
        <v>199</v>
      </c>
      <c r="J16" s="18" t="s">
        <v>200</v>
      </c>
      <c r="K16" s="18" t="s">
        <v>201</v>
      </c>
      <c r="L16" s="19" t="s">
        <v>95</v>
      </c>
    </row>
    <row r="17" customFormat="false" ht="23.85" hidden="false" customHeight="false" outlineLevel="0" collapsed="false">
      <c r="A17" s="17" t="s">
        <v>202</v>
      </c>
      <c r="B17" s="18" t="s">
        <v>203</v>
      </c>
      <c r="C17" s="18" t="s">
        <v>64</v>
      </c>
      <c r="D17" s="18" t="s">
        <v>204</v>
      </c>
      <c r="E17" s="18" t="s">
        <v>205</v>
      </c>
      <c r="F17" s="18" t="s">
        <v>186</v>
      </c>
      <c r="G17" s="18" t="s">
        <v>206</v>
      </c>
      <c r="H17" s="18" t="s">
        <v>207</v>
      </c>
      <c r="I17" s="18" t="s">
        <v>208</v>
      </c>
      <c r="J17" s="18" t="s">
        <v>209</v>
      </c>
      <c r="K17" s="18" t="s">
        <v>210</v>
      </c>
      <c r="L17" s="19" t="s">
        <v>95</v>
      </c>
    </row>
    <row r="18" customFormat="false" ht="23.85" hidden="false" customHeight="false" outlineLevel="0" collapsed="false">
      <c r="A18" s="17" t="s">
        <v>211</v>
      </c>
      <c r="B18" s="18" t="s">
        <v>212</v>
      </c>
      <c r="C18" s="18" t="s">
        <v>64</v>
      </c>
      <c r="D18" s="18" t="s">
        <v>213</v>
      </c>
      <c r="E18" s="18" t="s">
        <v>214</v>
      </c>
      <c r="F18" s="18" t="s">
        <v>186</v>
      </c>
      <c r="G18" s="18" t="s">
        <v>215</v>
      </c>
      <c r="H18" s="18" t="s">
        <v>216</v>
      </c>
      <c r="I18" s="18" t="s">
        <v>217</v>
      </c>
      <c r="J18" s="18" t="s">
        <v>218</v>
      </c>
      <c r="K18" s="18" t="s">
        <v>219</v>
      </c>
      <c r="L18" s="19" t="s">
        <v>95</v>
      </c>
    </row>
    <row r="19" customFormat="false" ht="23.85" hidden="false" customHeight="false" outlineLevel="0" collapsed="false">
      <c r="A19" s="17" t="s">
        <v>220</v>
      </c>
      <c r="B19" s="18" t="s">
        <v>221</v>
      </c>
      <c r="C19" s="18" t="s">
        <v>64</v>
      </c>
      <c r="D19" s="18" t="s">
        <v>222</v>
      </c>
      <c r="E19" s="18" t="s">
        <v>223</v>
      </c>
      <c r="F19" s="18" t="s">
        <v>127</v>
      </c>
      <c r="G19" s="18" t="s">
        <v>128</v>
      </c>
      <c r="H19" s="18" t="s">
        <v>129</v>
      </c>
      <c r="I19" s="18" t="s">
        <v>224</v>
      </c>
      <c r="J19" s="18" t="s">
        <v>225</v>
      </c>
      <c r="K19" s="18" t="s">
        <v>226</v>
      </c>
      <c r="L19" s="19" t="s">
        <v>95</v>
      </c>
    </row>
    <row r="20" customFormat="false" ht="23.85" hidden="false" customHeight="false" outlineLevel="0" collapsed="false">
      <c r="A20" s="17" t="s">
        <v>227</v>
      </c>
      <c r="B20" s="18" t="s">
        <v>228</v>
      </c>
      <c r="C20" s="18" t="s">
        <v>64</v>
      </c>
      <c r="D20" s="18" t="s">
        <v>229</v>
      </c>
      <c r="E20" s="18" t="s">
        <v>175</v>
      </c>
      <c r="F20" s="18" t="s">
        <v>230</v>
      </c>
      <c r="G20" s="18" t="s">
        <v>177</v>
      </c>
      <c r="H20" s="18" t="s">
        <v>231</v>
      </c>
      <c r="I20" s="18" t="s">
        <v>232</v>
      </c>
      <c r="J20" s="18" t="s">
        <v>233</v>
      </c>
      <c r="K20" s="18" t="s">
        <v>234</v>
      </c>
      <c r="L20" s="19" t="s">
        <v>95</v>
      </c>
    </row>
    <row r="21" customFormat="false" ht="35.05" hidden="false" customHeight="false" outlineLevel="0" collapsed="false">
      <c r="A21" s="17" t="s">
        <v>235</v>
      </c>
      <c r="B21" s="18" t="s">
        <v>236</v>
      </c>
      <c r="C21" s="18" t="s">
        <v>64</v>
      </c>
      <c r="D21" s="18" t="s">
        <v>237</v>
      </c>
      <c r="E21" s="18" t="s">
        <v>238</v>
      </c>
      <c r="F21" s="18" t="s">
        <v>239</v>
      </c>
      <c r="G21" s="18" t="s">
        <v>240</v>
      </c>
      <c r="H21" s="18" t="s">
        <v>241</v>
      </c>
      <c r="I21" s="18" t="s">
        <v>242</v>
      </c>
      <c r="J21" s="18" t="s">
        <v>243</v>
      </c>
      <c r="K21" s="18" t="s">
        <v>244</v>
      </c>
      <c r="L21" s="19" t="s">
        <v>95</v>
      </c>
    </row>
    <row r="22" customFormat="false" ht="23.85" hidden="false" customHeight="false" outlineLevel="0" collapsed="false">
      <c r="A22" s="17" t="s">
        <v>245</v>
      </c>
      <c r="B22" s="18" t="s">
        <v>246</v>
      </c>
      <c r="C22" s="18" t="s">
        <v>64</v>
      </c>
      <c r="D22" s="18" t="s">
        <v>247</v>
      </c>
      <c r="E22" s="18" t="s">
        <v>248</v>
      </c>
      <c r="F22" s="18" t="s">
        <v>249</v>
      </c>
      <c r="G22" s="18" t="s">
        <v>250</v>
      </c>
      <c r="H22" s="18" t="s">
        <v>251</v>
      </c>
      <c r="I22" s="18" t="s">
        <v>252</v>
      </c>
      <c r="J22" s="18" t="s">
        <v>253</v>
      </c>
      <c r="K22" s="18" t="s">
        <v>254</v>
      </c>
      <c r="L22" s="19" t="s">
        <v>95</v>
      </c>
    </row>
    <row r="23" customFormat="false" ht="23.85" hidden="false" customHeight="false" outlineLevel="0" collapsed="false">
      <c r="A23" s="17" t="s">
        <v>255</v>
      </c>
      <c r="B23" s="18" t="s">
        <v>256</v>
      </c>
      <c r="C23" s="18" t="s">
        <v>64</v>
      </c>
      <c r="D23" s="18" t="s">
        <v>257</v>
      </c>
      <c r="E23" s="18" t="s">
        <v>258</v>
      </c>
      <c r="F23" s="18" t="s">
        <v>259</v>
      </c>
      <c r="G23" s="18" t="s">
        <v>260</v>
      </c>
      <c r="H23" s="18" t="s">
        <v>261</v>
      </c>
      <c r="I23" s="18" t="s">
        <v>262</v>
      </c>
      <c r="J23" s="18" t="s">
        <v>263</v>
      </c>
      <c r="K23" s="18" t="s">
        <v>264</v>
      </c>
      <c r="L23" s="19" t="s">
        <v>95</v>
      </c>
    </row>
    <row r="24" customFormat="false" ht="23.85" hidden="false" customHeight="false" outlineLevel="0" collapsed="false">
      <c r="A24" s="17" t="s">
        <v>265</v>
      </c>
      <c r="B24" s="18" t="s">
        <v>266</v>
      </c>
      <c r="C24" s="18" t="s">
        <v>64</v>
      </c>
      <c r="D24" s="18" t="s">
        <v>267</v>
      </c>
      <c r="E24" s="18" t="s">
        <v>268</v>
      </c>
      <c r="F24" s="18" t="s">
        <v>269</v>
      </c>
      <c r="G24" s="18" t="s">
        <v>270</v>
      </c>
      <c r="H24" s="18"/>
      <c r="I24" s="18" t="s">
        <v>271</v>
      </c>
      <c r="J24" s="18" t="s">
        <v>272</v>
      </c>
      <c r="K24" s="18" t="s">
        <v>273</v>
      </c>
      <c r="L24" s="19" t="s">
        <v>95</v>
      </c>
    </row>
    <row r="25" customFormat="false" ht="23.85" hidden="false" customHeight="false" outlineLevel="0" collapsed="false">
      <c r="A25" s="17" t="s">
        <v>274</v>
      </c>
      <c r="B25" s="18" t="s">
        <v>275</v>
      </c>
      <c r="C25" s="18" t="s">
        <v>64</v>
      </c>
      <c r="D25" s="18" t="s">
        <v>276</v>
      </c>
      <c r="E25" s="18" t="s">
        <v>277</v>
      </c>
      <c r="F25" s="18" t="s">
        <v>278</v>
      </c>
      <c r="G25" s="18" t="s">
        <v>279</v>
      </c>
      <c r="H25" s="18" t="s">
        <v>280</v>
      </c>
      <c r="I25" s="18" t="s">
        <v>281</v>
      </c>
      <c r="J25" s="18" t="s">
        <v>282</v>
      </c>
      <c r="K25" s="18" t="s">
        <v>283</v>
      </c>
      <c r="L25" s="19" t="s">
        <v>95</v>
      </c>
    </row>
    <row r="26" customFormat="false" ht="23.85" hidden="false" customHeight="false" outlineLevel="0" collapsed="false">
      <c r="A26" s="17" t="s">
        <v>284</v>
      </c>
      <c r="B26" s="18" t="s">
        <v>285</v>
      </c>
      <c r="C26" s="18" t="s">
        <v>65</v>
      </c>
      <c r="D26" s="18" t="s">
        <v>286</v>
      </c>
      <c r="E26" s="18" t="s">
        <v>287</v>
      </c>
      <c r="F26" s="18" t="s">
        <v>288</v>
      </c>
      <c r="G26" s="18" t="s">
        <v>289</v>
      </c>
      <c r="H26" s="18"/>
      <c r="I26" s="18" t="s">
        <v>290</v>
      </c>
      <c r="J26" s="18" t="s">
        <v>291</v>
      </c>
      <c r="K26" s="18" t="s">
        <v>292</v>
      </c>
      <c r="L26" s="19" t="s">
        <v>95</v>
      </c>
    </row>
  </sheetData>
  <conditionalFormatting sqref="C5:C26">
    <cfRule type="cellIs" priority="2" operator="equal" aboveAverage="0" equalAverage="0" bottom="0" percent="0" rank="0" text="" dxfId="0">
      <formula>"High"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2">
      <formula>"Low"</formula>
    </cfRule>
  </conditionalFormatting>
  <dataValidations count="1">
    <dataValidation allowBlank="true" errorStyle="stop" operator="between" showDropDown="false" showErrorMessage="false" showInputMessage="false" sqref="L5:L26" type="list">
      <formula1>"Open,In progress,Verified,Closed,Risk accepted"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8"/>
    <col collapsed="false" customWidth="true" hidden="false" outlineLevel="0" max="3" min="3" style="0" width="22"/>
    <col collapsed="false" customWidth="true" hidden="false" outlineLevel="0" max="5" min="4" style="0" width="6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9" min="8" style="0" width="6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3" min="12" style="0" width="6"/>
    <col collapsed="false" customWidth="true" hidden="false" outlineLevel="0" max="14" min="14" style="0" width="8"/>
    <col collapsed="false" customWidth="true" hidden="false" outlineLevel="0" max="15" min="15" style="0" width="10"/>
    <col collapsed="false" customWidth="true" hidden="false" outlineLevel="0" max="16" min="16" style="0" width="26"/>
    <col collapsed="false" customWidth="true" hidden="false" outlineLevel="0" max="17" min="17" style="0" width="24"/>
  </cols>
  <sheetData>
    <row r="1" customFormat="false" ht="17.35" hidden="false" customHeight="false" outlineLevel="0" collapsed="false">
      <c r="A1" s="15" t="s">
        <v>293</v>
      </c>
    </row>
    <row r="2" customFormat="false" ht="15" hidden="false" customHeight="false" outlineLevel="0" collapsed="false">
      <c r="A2" s="16" t="s">
        <v>294</v>
      </c>
    </row>
    <row r="4" customFormat="false" ht="15" hidden="false" customHeight="false" outlineLevel="0" collapsed="false">
      <c r="D4" s="12" t="s">
        <v>68</v>
      </c>
      <c r="H4" s="12" t="s">
        <v>69</v>
      </c>
      <c r="L4" s="12" t="s">
        <v>70</v>
      </c>
    </row>
    <row r="5" customFormat="false" ht="15" hidden="false" customHeight="false" outlineLevel="0" collapsed="false">
      <c r="A5" s="9" t="s">
        <v>295</v>
      </c>
      <c r="B5" s="9" t="s">
        <v>78</v>
      </c>
      <c r="C5" s="9" t="s">
        <v>296</v>
      </c>
      <c r="D5" s="9" t="s">
        <v>297</v>
      </c>
      <c r="E5" s="9" t="s">
        <v>298</v>
      </c>
      <c r="F5" s="9" t="s">
        <v>299</v>
      </c>
      <c r="G5" s="9" t="s">
        <v>67</v>
      </c>
      <c r="H5" s="9" t="s">
        <v>297</v>
      </c>
      <c r="I5" s="9" t="s">
        <v>298</v>
      </c>
      <c r="J5" s="9" t="s">
        <v>299</v>
      </c>
      <c r="K5" s="9" t="s">
        <v>67</v>
      </c>
      <c r="L5" s="9" t="s">
        <v>297</v>
      </c>
      <c r="M5" s="9" t="s">
        <v>298</v>
      </c>
      <c r="N5" s="9" t="s">
        <v>299</v>
      </c>
      <c r="O5" s="9" t="s">
        <v>67</v>
      </c>
      <c r="P5" s="9" t="s">
        <v>300</v>
      </c>
      <c r="Q5" s="9" t="s">
        <v>301</v>
      </c>
    </row>
    <row r="6" customFormat="false" ht="23.85" hidden="false" customHeight="false" outlineLevel="0" collapsed="false">
      <c r="A6" s="17" t="s">
        <v>89</v>
      </c>
      <c r="B6" s="18" t="s">
        <v>302</v>
      </c>
      <c r="C6" s="18" t="s">
        <v>303</v>
      </c>
      <c r="D6" s="19" t="n">
        <v>4</v>
      </c>
      <c r="E6" s="19" t="n">
        <v>5</v>
      </c>
      <c r="F6" s="18" t="n">
        <f aca="false">D6*E6</f>
        <v>20</v>
      </c>
      <c r="G6" s="18" t="str">
        <f aca="false">IF(F6&gt;=16,"Very high",IF(F6&gt;=10,"High",IF(F6&gt;=5,"Medium","Low")))</f>
        <v>Very high</v>
      </c>
      <c r="H6" s="19" t="n">
        <v>3</v>
      </c>
      <c r="I6" s="19" t="n">
        <v>5</v>
      </c>
      <c r="J6" s="18" t="n">
        <f aca="false">H6*I6</f>
        <v>15</v>
      </c>
      <c r="K6" s="18" t="str">
        <f aca="false">IF(J6&gt;=16,"Very high",IF(J6&gt;=10,"High",IF(J6&gt;=5,"Medium","Low")))</f>
        <v>High</v>
      </c>
      <c r="L6" s="19" t="n">
        <v>2</v>
      </c>
      <c r="M6" s="19" t="n">
        <v>4</v>
      </c>
      <c r="N6" s="18" t="n">
        <f aca="false">L6*M6</f>
        <v>8</v>
      </c>
      <c r="O6" s="18" t="str">
        <f aca="false">IF(N6&gt;=16,"Very high",IF(N6&gt;=10,"High",IF(N6&gt;=5,"Medium","Low")))</f>
        <v>Medium</v>
      </c>
      <c r="P6" s="18" t="s">
        <v>304</v>
      </c>
      <c r="Q6" s="18" t="s">
        <v>305</v>
      </c>
    </row>
    <row r="7" customFormat="false" ht="23.85" hidden="false" customHeight="false" outlineLevel="0" collapsed="false">
      <c r="A7" s="17" t="s">
        <v>107</v>
      </c>
      <c r="B7" s="18" t="s">
        <v>306</v>
      </c>
      <c r="C7" s="18" t="s">
        <v>103</v>
      </c>
      <c r="D7" s="19" t="n">
        <v>4</v>
      </c>
      <c r="E7" s="19" t="n">
        <v>4</v>
      </c>
      <c r="F7" s="18" t="n">
        <f aca="false">D7*E7</f>
        <v>16</v>
      </c>
      <c r="G7" s="18" t="str">
        <f aca="false">IF(F7&gt;=16,"Very high",IF(F7&gt;=10,"High",IF(F7&gt;=5,"Medium","Low")))</f>
        <v>Very high</v>
      </c>
      <c r="H7" s="19" t="n">
        <v>4</v>
      </c>
      <c r="I7" s="19" t="n">
        <v>4</v>
      </c>
      <c r="J7" s="18" t="n">
        <f aca="false">H7*I7</f>
        <v>16</v>
      </c>
      <c r="K7" s="18" t="str">
        <f aca="false">IF(J7&gt;=16,"Very high",IF(J7&gt;=10,"High",IF(J7&gt;=5,"Medium","Low")))</f>
        <v>Very high</v>
      </c>
      <c r="L7" s="19" t="n">
        <v>2</v>
      </c>
      <c r="M7" s="19" t="n">
        <v>4</v>
      </c>
      <c r="N7" s="18" t="n">
        <f aca="false">L7*M7</f>
        <v>8</v>
      </c>
      <c r="O7" s="18" t="str">
        <f aca="false">IF(N7&gt;=16,"Very high",IF(N7&gt;=10,"High",IF(N7&gt;=5,"Medium","Low")))</f>
        <v>Medium</v>
      </c>
      <c r="P7" s="18" t="s">
        <v>304</v>
      </c>
      <c r="Q7" s="18" t="s">
        <v>307</v>
      </c>
    </row>
    <row r="8" customFormat="false" ht="23.85" hidden="false" customHeight="false" outlineLevel="0" collapsed="false">
      <c r="A8" s="17" t="s">
        <v>117</v>
      </c>
      <c r="B8" s="18" t="s">
        <v>308</v>
      </c>
      <c r="C8" s="18" t="s">
        <v>113</v>
      </c>
      <c r="D8" s="19" t="n">
        <v>3</v>
      </c>
      <c r="E8" s="19" t="n">
        <v>4</v>
      </c>
      <c r="F8" s="18" t="n">
        <f aca="false">D8*E8</f>
        <v>12</v>
      </c>
      <c r="G8" s="18" t="str">
        <f aca="false">IF(F8&gt;=16,"Very high",IF(F8&gt;=10,"High",IF(F8&gt;=5,"Medium","Low")))</f>
        <v>High</v>
      </c>
      <c r="H8" s="19" t="n">
        <v>4</v>
      </c>
      <c r="I8" s="19" t="n">
        <v>4</v>
      </c>
      <c r="J8" s="18" t="n">
        <f aca="false">H8*I8</f>
        <v>16</v>
      </c>
      <c r="K8" s="18" t="str">
        <f aca="false">IF(J8&gt;=16,"Very high",IF(J8&gt;=10,"High",IF(J8&gt;=5,"Medium","Low")))</f>
        <v>Very high</v>
      </c>
      <c r="L8" s="19" t="n">
        <v>1</v>
      </c>
      <c r="M8" s="19" t="n">
        <v>4</v>
      </c>
      <c r="N8" s="18" t="n">
        <f aca="false">L8*M8</f>
        <v>4</v>
      </c>
      <c r="O8" s="18" t="str">
        <f aca="false">IF(N8&gt;=16,"Very high",IF(N8&gt;=10,"High",IF(N8&gt;=5,"Medium","Low")))</f>
        <v>Low</v>
      </c>
      <c r="P8" s="18" t="s">
        <v>309</v>
      </c>
      <c r="Q8" s="18" t="s">
        <v>310</v>
      </c>
    </row>
    <row r="9" customFormat="false" ht="15" hidden="false" customHeight="false" outlineLevel="0" collapsed="false">
      <c r="A9" s="17" t="s">
        <v>278</v>
      </c>
      <c r="B9" s="18" t="s">
        <v>311</v>
      </c>
      <c r="C9" s="18" t="s">
        <v>274</v>
      </c>
      <c r="D9" s="19" t="n">
        <v>3</v>
      </c>
      <c r="E9" s="19" t="n">
        <v>4</v>
      </c>
      <c r="F9" s="18" t="n">
        <f aca="false">D9*E9</f>
        <v>12</v>
      </c>
      <c r="G9" s="18" t="str">
        <f aca="false">IF(F9&gt;=16,"Very high",IF(F9&gt;=10,"High",IF(F9&gt;=5,"Medium","Low")))</f>
        <v>High</v>
      </c>
      <c r="H9" s="19" t="n">
        <v>3</v>
      </c>
      <c r="I9" s="19" t="n">
        <v>3</v>
      </c>
      <c r="J9" s="18" t="n">
        <f aca="false">H9*I9</f>
        <v>9</v>
      </c>
      <c r="K9" s="18" t="str">
        <f aca="false">IF(J9&gt;=16,"Very high",IF(J9&gt;=10,"High",IF(J9&gt;=5,"Medium","Low")))</f>
        <v>Medium</v>
      </c>
      <c r="L9" s="19" t="n">
        <v>2</v>
      </c>
      <c r="M9" s="19" t="n">
        <v>3</v>
      </c>
      <c r="N9" s="18" t="n">
        <f aca="false">L9*M9</f>
        <v>6</v>
      </c>
      <c r="O9" s="18" t="str">
        <f aca="false">IF(N9&gt;=16,"Very high",IF(N9&gt;=10,"High",IF(N9&gt;=5,"Medium","Low")))</f>
        <v>Medium</v>
      </c>
      <c r="P9" s="18" t="s">
        <v>304</v>
      </c>
      <c r="Q9" s="18" t="s">
        <v>312</v>
      </c>
    </row>
    <row r="10" customFormat="false" ht="23.85" hidden="false" customHeight="false" outlineLevel="0" collapsed="false">
      <c r="A10" s="17" t="s">
        <v>147</v>
      </c>
      <c r="B10" s="18" t="s">
        <v>313</v>
      </c>
      <c r="C10" s="18" t="s">
        <v>143</v>
      </c>
      <c r="D10" s="19" t="n">
        <v>3</v>
      </c>
      <c r="E10" s="19" t="n">
        <v>3</v>
      </c>
      <c r="F10" s="18" t="n">
        <f aca="false">D10*E10</f>
        <v>9</v>
      </c>
      <c r="G10" s="18" t="str">
        <f aca="false">IF(F10&gt;=16,"Very high",IF(F10&gt;=10,"High",IF(F10&gt;=5,"Medium","Low")))</f>
        <v>Medium</v>
      </c>
      <c r="H10" s="19" t="n">
        <v>3</v>
      </c>
      <c r="I10" s="19" t="n">
        <v>3</v>
      </c>
      <c r="J10" s="18" t="n">
        <f aca="false">H10*I10</f>
        <v>9</v>
      </c>
      <c r="K10" s="18" t="str">
        <f aca="false">IF(J10&gt;=16,"Very high",IF(J10&gt;=10,"High",IF(J10&gt;=5,"Medium","Low")))</f>
        <v>Medium</v>
      </c>
      <c r="L10" s="19" t="n">
        <v>1</v>
      </c>
      <c r="M10" s="19" t="n">
        <v>3</v>
      </c>
      <c r="N10" s="18" t="n">
        <f aca="false">L10*M10</f>
        <v>3</v>
      </c>
      <c r="O10" s="18" t="str">
        <f aca="false">IF(N10&gt;=16,"Very high",IF(N10&gt;=10,"High",IF(N10&gt;=5,"Medium","Low")))</f>
        <v>Low</v>
      </c>
      <c r="P10" s="18" t="s">
        <v>304</v>
      </c>
      <c r="Q10" s="18" t="s">
        <v>312</v>
      </c>
    </row>
    <row r="11" customFormat="false" ht="23.85" hidden="false" customHeight="false" outlineLevel="0" collapsed="false">
      <c r="A11" s="17" t="s">
        <v>137</v>
      </c>
      <c r="B11" s="18" t="s">
        <v>314</v>
      </c>
      <c r="C11" s="18" t="s">
        <v>133</v>
      </c>
      <c r="D11" s="19" t="n">
        <v>3</v>
      </c>
      <c r="E11" s="19" t="n">
        <v>4</v>
      </c>
      <c r="F11" s="18" t="n">
        <f aca="false">D11*E11</f>
        <v>12</v>
      </c>
      <c r="G11" s="18" t="str">
        <f aca="false">IF(F11&gt;=16,"Very high",IF(F11&gt;=10,"High",IF(F11&gt;=5,"Medium","Low")))</f>
        <v>High</v>
      </c>
      <c r="H11" s="19" t="n">
        <v>2</v>
      </c>
      <c r="I11" s="19" t="n">
        <v>4</v>
      </c>
      <c r="J11" s="18" t="n">
        <f aca="false">H11*I11</f>
        <v>8</v>
      </c>
      <c r="K11" s="18" t="str">
        <f aca="false">IF(J11&gt;=16,"Very high",IF(J11&gt;=10,"High",IF(J11&gt;=5,"Medium","Low")))</f>
        <v>Medium</v>
      </c>
      <c r="L11" s="19" t="n">
        <v>1</v>
      </c>
      <c r="M11" s="19" t="n">
        <v>4</v>
      </c>
      <c r="N11" s="18" t="n">
        <f aca="false">L11*M11</f>
        <v>4</v>
      </c>
      <c r="O11" s="18" t="str">
        <f aca="false">IF(N11&gt;=16,"Very high",IF(N11&gt;=10,"High",IF(N11&gt;=5,"Medium","Low")))</f>
        <v>Low</v>
      </c>
      <c r="P11" s="18" t="s">
        <v>315</v>
      </c>
      <c r="Q11" s="18" t="s">
        <v>316</v>
      </c>
    </row>
    <row r="12" customFormat="false" ht="15" hidden="false" customHeight="false" outlineLevel="0" collapsed="false">
      <c r="A12" s="17" t="s">
        <v>176</v>
      </c>
      <c r="B12" s="18" t="s">
        <v>317</v>
      </c>
      <c r="C12" s="18" t="s">
        <v>172</v>
      </c>
      <c r="D12" s="19" t="n">
        <v>3</v>
      </c>
      <c r="E12" s="19" t="n">
        <v>3</v>
      </c>
      <c r="F12" s="18" t="n">
        <f aca="false">D12*E12</f>
        <v>9</v>
      </c>
      <c r="G12" s="18" t="str">
        <f aca="false">IF(F12&gt;=16,"Very high",IF(F12&gt;=10,"High",IF(F12&gt;=5,"Medium","Low")))</f>
        <v>Medium</v>
      </c>
      <c r="H12" s="19" t="n">
        <v>3</v>
      </c>
      <c r="I12" s="19" t="n">
        <v>3</v>
      </c>
      <c r="J12" s="18" t="n">
        <f aca="false">H12*I12</f>
        <v>9</v>
      </c>
      <c r="K12" s="18" t="str">
        <f aca="false">IF(J12&gt;=16,"Very high",IF(J12&gt;=10,"High",IF(J12&gt;=5,"Medium","Low")))</f>
        <v>Medium</v>
      </c>
      <c r="L12" s="19" t="n">
        <v>2</v>
      </c>
      <c r="M12" s="19" t="n">
        <v>3</v>
      </c>
      <c r="N12" s="18" t="n">
        <f aca="false">L12*M12</f>
        <v>6</v>
      </c>
      <c r="O12" s="18" t="str">
        <f aca="false">IF(N12&gt;=16,"Very high",IF(N12&gt;=10,"High",IF(N12&gt;=5,"Medium","Low")))</f>
        <v>Medium</v>
      </c>
      <c r="P12" s="18" t="s">
        <v>304</v>
      </c>
      <c r="Q12" s="18" t="s">
        <v>310</v>
      </c>
    </row>
    <row r="13" customFormat="false" ht="15" hidden="false" customHeight="false" outlineLevel="0" collapsed="false">
      <c r="A13" s="17" t="s">
        <v>230</v>
      </c>
      <c r="B13" s="18" t="s">
        <v>318</v>
      </c>
      <c r="C13" s="18" t="s">
        <v>227</v>
      </c>
      <c r="D13" s="19" t="n">
        <v>3</v>
      </c>
      <c r="E13" s="19" t="n">
        <v>4</v>
      </c>
      <c r="F13" s="18" t="n">
        <f aca="false">D13*E13</f>
        <v>12</v>
      </c>
      <c r="G13" s="18" t="str">
        <f aca="false">IF(F13&gt;=16,"Very high",IF(F13&gt;=10,"High",IF(F13&gt;=5,"Medium","Low")))</f>
        <v>High</v>
      </c>
      <c r="H13" s="19" t="n">
        <v>3</v>
      </c>
      <c r="I13" s="19" t="n">
        <v>4</v>
      </c>
      <c r="J13" s="18" t="n">
        <f aca="false">H13*I13</f>
        <v>12</v>
      </c>
      <c r="K13" s="18" t="str">
        <f aca="false">IF(J13&gt;=16,"Very high",IF(J13&gt;=10,"High",IF(J13&gt;=5,"Medium","Low")))</f>
        <v>High</v>
      </c>
      <c r="L13" s="19" t="n">
        <v>2</v>
      </c>
      <c r="M13" s="19" t="n">
        <v>3</v>
      </c>
      <c r="N13" s="18" t="n">
        <f aca="false">L13*M13</f>
        <v>6</v>
      </c>
      <c r="O13" s="18" t="str">
        <f aca="false">IF(N13&gt;=16,"Very high",IF(N13&gt;=10,"High",IF(N13&gt;=5,"Medium","Low")))</f>
        <v>Medium</v>
      </c>
      <c r="P13" s="18" t="s">
        <v>319</v>
      </c>
      <c r="Q13" s="18" t="s">
        <v>320</v>
      </c>
    </row>
    <row r="14" customFormat="false" ht="15" hidden="false" customHeight="false" outlineLevel="0" collapsed="false">
      <c r="A14" s="17" t="s">
        <v>186</v>
      </c>
      <c r="B14" s="18" t="s">
        <v>321</v>
      </c>
      <c r="C14" s="18" t="s">
        <v>322</v>
      </c>
      <c r="D14" s="19" t="n">
        <v>4</v>
      </c>
      <c r="E14" s="19" t="n">
        <v>3</v>
      </c>
      <c r="F14" s="18" t="n">
        <f aca="false">D14*E14</f>
        <v>12</v>
      </c>
      <c r="G14" s="18" t="str">
        <f aca="false">IF(F14&gt;=16,"Very high",IF(F14&gt;=10,"High",IF(F14&gt;=5,"Medium","Low")))</f>
        <v>High</v>
      </c>
      <c r="H14" s="19" t="n">
        <v>3</v>
      </c>
      <c r="I14" s="19" t="n">
        <v>3</v>
      </c>
      <c r="J14" s="18" t="n">
        <f aca="false">H14*I14</f>
        <v>9</v>
      </c>
      <c r="K14" s="18" t="str">
        <f aca="false">IF(J14&gt;=16,"Very high",IF(J14&gt;=10,"High",IF(J14&gt;=5,"Medium","Low")))</f>
        <v>Medium</v>
      </c>
      <c r="L14" s="19" t="n">
        <v>2</v>
      </c>
      <c r="M14" s="19" t="n">
        <v>2</v>
      </c>
      <c r="N14" s="18" t="n">
        <f aca="false">L14*M14</f>
        <v>4</v>
      </c>
      <c r="O14" s="18" t="str">
        <f aca="false">IF(N14&gt;=16,"Very high",IF(N14&gt;=10,"High",IF(N14&gt;=5,"Medium","Low")))</f>
        <v>Low</v>
      </c>
      <c r="P14" s="18" t="s">
        <v>304</v>
      </c>
      <c r="Q14" s="18" t="s">
        <v>323</v>
      </c>
    </row>
    <row r="15" customFormat="false" ht="15" hidden="false" customHeight="false" outlineLevel="0" collapsed="false">
      <c r="A15" s="17" t="s">
        <v>196</v>
      </c>
      <c r="B15" s="18" t="s">
        <v>324</v>
      </c>
      <c r="C15" s="18" t="s">
        <v>192</v>
      </c>
      <c r="D15" s="19" t="n">
        <v>4</v>
      </c>
      <c r="E15" s="19" t="n">
        <v>3</v>
      </c>
      <c r="F15" s="18" t="n">
        <f aca="false">D15*E15</f>
        <v>12</v>
      </c>
      <c r="G15" s="18" t="str">
        <f aca="false">IF(F15&gt;=16,"Very high",IF(F15&gt;=10,"High",IF(F15&gt;=5,"Medium","Low")))</f>
        <v>High</v>
      </c>
      <c r="H15" s="19" t="n">
        <v>3</v>
      </c>
      <c r="I15" s="19" t="n">
        <v>3</v>
      </c>
      <c r="J15" s="18" t="n">
        <f aca="false">H15*I15</f>
        <v>9</v>
      </c>
      <c r="K15" s="18" t="str">
        <f aca="false">IF(J15&gt;=16,"Very high",IF(J15&gt;=10,"High",IF(J15&gt;=5,"Medium","Low")))</f>
        <v>Medium</v>
      </c>
      <c r="L15" s="19" t="n">
        <v>3</v>
      </c>
      <c r="M15" s="19" t="n">
        <v>2</v>
      </c>
      <c r="N15" s="18" t="n">
        <f aca="false">L15*M15</f>
        <v>6</v>
      </c>
      <c r="O15" s="18" t="str">
        <f aca="false">IF(N15&gt;=16,"Very high",IF(N15&gt;=10,"High",IF(N15&gt;=5,"Medium","Low")))</f>
        <v>Medium</v>
      </c>
      <c r="P15" s="18" t="s">
        <v>304</v>
      </c>
      <c r="Q15" s="18" t="s">
        <v>310</v>
      </c>
    </row>
    <row r="16" customFormat="false" ht="15" hidden="false" customHeight="false" outlineLevel="0" collapsed="false">
      <c r="A16" s="17" t="s">
        <v>127</v>
      </c>
      <c r="B16" s="18" t="s">
        <v>325</v>
      </c>
      <c r="C16" s="18" t="s">
        <v>326</v>
      </c>
      <c r="D16" s="19" t="n">
        <v>3</v>
      </c>
      <c r="E16" s="19" t="n">
        <v>5</v>
      </c>
      <c r="F16" s="18" t="n">
        <f aca="false">D16*E16</f>
        <v>15</v>
      </c>
      <c r="G16" s="18" t="str">
        <f aca="false">IF(F16&gt;=16,"Very high",IF(F16&gt;=10,"High",IF(F16&gt;=5,"Medium","Low")))</f>
        <v>High</v>
      </c>
      <c r="H16" s="19" t="n">
        <v>3</v>
      </c>
      <c r="I16" s="19" t="n">
        <v>5</v>
      </c>
      <c r="J16" s="18" t="n">
        <f aca="false">H16*I16</f>
        <v>15</v>
      </c>
      <c r="K16" s="18" t="str">
        <f aca="false">IF(J16&gt;=16,"Very high",IF(J16&gt;=10,"High",IF(J16&gt;=5,"Medium","Low")))</f>
        <v>High</v>
      </c>
      <c r="L16" s="19" t="n">
        <v>1</v>
      </c>
      <c r="M16" s="19" t="n">
        <v>5</v>
      </c>
      <c r="N16" s="18" t="n">
        <f aca="false">L16*M16</f>
        <v>5</v>
      </c>
      <c r="O16" s="18" t="str">
        <f aca="false">IF(N16&gt;=16,"Very high",IF(N16&gt;=10,"High",IF(N16&gt;=5,"Medium","Low")))</f>
        <v>Medium</v>
      </c>
      <c r="P16" s="18" t="s">
        <v>327</v>
      </c>
      <c r="Q16" s="18" t="s">
        <v>328</v>
      </c>
    </row>
    <row r="17" customFormat="false" ht="15" hidden="false" customHeight="false" outlineLevel="0" collapsed="false">
      <c r="A17" s="17" t="s">
        <v>157</v>
      </c>
      <c r="B17" s="18" t="s">
        <v>329</v>
      </c>
      <c r="C17" s="18" t="s">
        <v>153</v>
      </c>
      <c r="D17" s="19" t="n">
        <v>3</v>
      </c>
      <c r="E17" s="19" t="n">
        <v>3</v>
      </c>
      <c r="F17" s="18" t="n">
        <f aca="false">D17*E17</f>
        <v>9</v>
      </c>
      <c r="G17" s="18" t="str">
        <f aca="false">IF(F17&gt;=16,"Very high",IF(F17&gt;=10,"High",IF(F17&gt;=5,"Medium","Low")))</f>
        <v>Medium</v>
      </c>
      <c r="H17" s="19" t="n">
        <v>3</v>
      </c>
      <c r="I17" s="19" t="n">
        <v>3</v>
      </c>
      <c r="J17" s="18" t="n">
        <f aca="false">H17*I17</f>
        <v>9</v>
      </c>
      <c r="K17" s="18" t="str">
        <f aca="false">IF(J17&gt;=16,"Very high",IF(J17&gt;=10,"High",IF(J17&gt;=5,"Medium","Low")))</f>
        <v>Medium</v>
      </c>
      <c r="L17" s="19" t="n">
        <v>2</v>
      </c>
      <c r="M17" s="19" t="n">
        <v>3</v>
      </c>
      <c r="N17" s="18" t="n">
        <f aca="false">L17*M17</f>
        <v>6</v>
      </c>
      <c r="O17" s="18" t="str">
        <f aca="false">IF(N17&gt;=16,"Very high",IF(N17&gt;=10,"High",IF(N17&gt;=5,"Medium","Low")))</f>
        <v>Medium</v>
      </c>
      <c r="P17" s="18" t="s">
        <v>304</v>
      </c>
      <c r="Q17" s="18" t="s">
        <v>310</v>
      </c>
    </row>
    <row r="18" customFormat="false" ht="15" hidden="false" customHeight="false" outlineLevel="0" collapsed="false">
      <c r="A18" s="17" t="s">
        <v>259</v>
      </c>
      <c r="B18" s="18" t="s">
        <v>330</v>
      </c>
      <c r="C18" s="18" t="s">
        <v>255</v>
      </c>
      <c r="D18" s="19" t="n">
        <v>3</v>
      </c>
      <c r="E18" s="19" t="n">
        <v>5</v>
      </c>
      <c r="F18" s="18" t="n">
        <f aca="false">D18*E18</f>
        <v>15</v>
      </c>
      <c r="G18" s="18" t="str">
        <f aca="false">IF(F18&gt;=16,"Very high",IF(F18&gt;=10,"High",IF(F18&gt;=5,"Medium","Low")))</f>
        <v>High</v>
      </c>
      <c r="H18" s="19" t="n">
        <v>3</v>
      </c>
      <c r="I18" s="19" t="n">
        <v>4</v>
      </c>
      <c r="J18" s="18" t="n">
        <f aca="false">H18*I18</f>
        <v>12</v>
      </c>
      <c r="K18" s="18" t="str">
        <f aca="false">IF(J18&gt;=16,"Very high",IF(J18&gt;=10,"High",IF(J18&gt;=5,"Medium","Low")))</f>
        <v>High</v>
      </c>
      <c r="L18" s="19" t="n">
        <v>2</v>
      </c>
      <c r="M18" s="19" t="n">
        <v>4</v>
      </c>
      <c r="N18" s="18" t="n">
        <f aca="false">L18*M18</f>
        <v>8</v>
      </c>
      <c r="O18" s="18" t="str">
        <f aca="false">IF(N18&gt;=16,"Very high",IF(N18&gt;=10,"High",IF(N18&gt;=5,"Medium","Low")))</f>
        <v>Medium</v>
      </c>
      <c r="P18" s="18" t="s">
        <v>304</v>
      </c>
      <c r="Q18" s="18" t="s">
        <v>305</v>
      </c>
    </row>
    <row r="19" customFormat="false" ht="15" hidden="false" customHeight="false" outlineLevel="0" collapsed="false">
      <c r="A19" s="17" t="s">
        <v>249</v>
      </c>
      <c r="B19" s="18" t="s">
        <v>331</v>
      </c>
      <c r="C19" s="18" t="s">
        <v>245</v>
      </c>
      <c r="D19" s="19" t="n">
        <v>3</v>
      </c>
      <c r="E19" s="19" t="n">
        <v>4</v>
      </c>
      <c r="F19" s="18" t="n">
        <f aca="false">D19*E19</f>
        <v>12</v>
      </c>
      <c r="G19" s="18" t="str">
        <f aca="false">IF(F19&gt;=16,"Very high",IF(F19&gt;=10,"High",IF(F19&gt;=5,"Medium","Low")))</f>
        <v>High</v>
      </c>
      <c r="H19" s="19" t="n">
        <v>2</v>
      </c>
      <c r="I19" s="19" t="n">
        <v>4</v>
      </c>
      <c r="J19" s="18" t="n">
        <f aca="false">H19*I19</f>
        <v>8</v>
      </c>
      <c r="K19" s="18" t="str">
        <f aca="false">IF(J19&gt;=16,"Very high",IF(J19&gt;=10,"High",IF(J19&gt;=5,"Medium","Low")))</f>
        <v>Medium</v>
      </c>
      <c r="L19" s="19" t="n">
        <v>1</v>
      </c>
      <c r="M19" s="19" t="n">
        <v>4</v>
      </c>
      <c r="N19" s="18" t="n">
        <f aca="false">L19*M19</f>
        <v>4</v>
      </c>
      <c r="O19" s="18" t="str">
        <f aca="false">IF(N19&gt;=16,"Very high",IF(N19&gt;=10,"High",IF(N19&gt;=5,"Medium","Low")))</f>
        <v>Low</v>
      </c>
      <c r="P19" s="18" t="s">
        <v>304</v>
      </c>
      <c r="Q19" s="18" t="s">
        <v>310</v>
      </c>
    </row>
    <row r="20" customFormat="false" ht="15" hidden="false" customHeight="false" outlineLevel="0" collapsed="false">
      <c r="A20" s="17" t="s">
        <v>269</v>
      </c>
      <c r="B20" s="18" t="s">
        <v>332</v>
      </c>
      <c r="C20" s="18" t="s">
        <v>265</v>
      </c>
      <c r="D20" s="19" t="n">
        <v>3</v>
      </c>
      <c r="E20" s="19" t="n">
        <v>3</v>
      </c>
      <c r="F20" s="18" t="n">
        <f aca="false">D20*E20</f>
        <v>9</v>
      </c>
      <c r="G20" s="18" t="str">
        <f aca="false">IF(F20&gt;=16,"Very high",IF(F20&gt;=10,"High",IF(F20&gt;=5,"Medium","Low")))</f>
        <v>Medium</v>
      </c>
      <c r="H20" s="19" t="n">
        <v>3</v>
      </c>
      <c r="I20" s="19" t="n">
        <v>3</v>
      </c>
      <c r="J20" s="18" t="n">
        <f aca="false">H20*I20</f>
        <v>9</v>
      </c>
      <c r="K20" s="18" t="str">
        <f aca="false">IF(J20&gt;=16,"Very high",IF(J20&gt;=10,"High",IF(J20&gt;=5,"Medium","Low")))</f>
        <v>Medium</v>
      </c>
      <c r="L20" s="19" t="n">
        <v>2</v>
      </c>
      <c r="M20" s="19" t="n">
        <v>3</v>
      </c>
      <c r="N20" s="18" t="n">
        <f aca="false">L20*M20</f>
        <v>6</v>
      </c>
      <c r="O20" s="18" t="str">
        <f aca="false">IF(N20&gt;=16,"Very high",IF(N20&gt;=10,"High",IF(N20&gt;=5,"Medium","Low")))</f>
        <v>Medium</v>
      </c>
      <c r="P20" s="18" t="s">
        <v>333</v>
      </c>
      <c r="Q20" s="18" t="s">
        <v>334</v>
      </c>
    </row>
    <row r="21" customFormat="false" ht="15" hidden="false" customHeight="false" outlineLevel="0" collapsed="false">
      <c r="A21" s="17" t="s">
        <v>239</v>
      </c>
      <c r="B21" s="18" t="s">
        <v>335</v>
      </c>
      <c r="C21" s="18" t="s">
        <v>235</v>
      </c>
      <c r="D21" s="19" t="n">
        <v>3</v>
      </c>
      <c r="E21" s="19" t="n">
        <v>3</v>
      </c>
      <c r="F21" s="18" t="n">
        <f aca="false">D21*E21</f>
        <v>9</v>
      </c>
      <c r="G21" s="18" t="str">
        <f aca="false">IF(F21&gt;=16,"Very high",IF(F21&gt;=10,"High",IF(F21&gt;=5,"Medium","Low")))</f>
        <v>Medium</v>
      </c>
      <c r="H21" s="19" t="n">
        <v>2</v>
      </c>
      <c r="I21" s="19" t="n">
        <v>3</v>
      </c>
      <c r="J21" s="18" t="n">
        <f aca="false">H21*I21</f>
        <v>6</v>
      </c>
      <c r="K21" s="18" t="str">
        <f aca="false">IF(J21&gt;=16,"Very high",IF(J21&gt;=10,"High",IF(J21&gt;=5,"Medium","Low")))</f>
        <v>Medium</v>
      </c>
      <c r="L21" s="19" t="n">
        <v>1</v>
      </c>
      <c r="M21" s="19" t="n">
        <v>3</v>
      </c>
      <c r="N21" s="18" t="n">
        <f aca="false">L21*M21</f>
        <v>3</v>
      </c>
      <c r="O21" s="18" t="str">
        <f aca="false">IF(N21&gt;=16,"Very high",IF(N21&gt;=10,"High",IF(N21&gt;=5,"Medium","Low")))</f>
        <v>Low</v>
      </c>
      <c r="P21" s="18" t="s">
        <v>304</v>
      </c>
      <c r="Q21" s="18" t="s">
        <v>336</v>
      </c>
    </row>
    <row r="22" customFormat="false" ht="23.85" hidden="false" customHeight="false" outlineLevel="0" collapsed="false">
      <c r="A22" s="17" t="s">
        <v>288</v>
      </c>
      <c r="B22" s="18" t="s">
        <v>337</v>
      </c>
      <c r="C22" s="18" t="s">
        <v>284</v>
      </c>
      <c r="D22" s="19" t="n">
        <v>3</v>
      </c>
      <c r="E22" s="19" t="n">
        <v>2</v>
      </c>
      <c r="F22" s="18" t="n">
        <f aca="false">D22*E22</f>
        <v>6</v>
      </c>
      <c r="G22" s="18" t="str">
        <f aca="false">IF(F22&gt;=16,"Very high",IF(F22&gt;=10,"High",IF(F22&gt;=5,"Medium","Low")))</f>
        <v>Medium</v>
      </c>
      <c r="H22" s="19" t="n">
        <v>3</v>
      </c>
      <c r="I22" s="19" t="n">
        <v>2</v>
      </c>
      <c r="J22" s="18" t="n">
        <f aca="false">H22*I22</f>
        <v>6</v>
      </c>
      <c r="K22" s="18" t="str">
        <f aca="false">IF(J22&gt;=16,"Very high",IF(J22&gt;=10,"High",IF(J22&gt;=5,"Medium","Low")))</f>
        <v>Medium</v>
      </c>
      <c r="L22" s="19" t="n">
        <v>2</v>
      </c>
      <c r="M22" s="19" t="n">
        <v>2</v>
      </c>
      <c r="N22" s="18" t="n">
        <f aca="false">L22*M22</f>
        <v>4</v>
      </c>
      <c r="O22" s="18" t="str">
        <f aca="false">IF(N22&gt;=16,"Very high",IF(N22&gt;=10,"High",IF(N22&gt;=5,"Medium","Low")))</f>
        <v>Low</v>
      </c>
      <c r="P22" s="18" t="s">
        <v>338</v>
      </c>
      <c r="Q22" s="18" t="s">
        <v>339</v>
      </c>
    </row>
    <row r="24" customFormat="false" ht="15" hidden="false" customHeight="false" outlineLevel="0" collapsed="false">
      <c r="B24" s="12" t="s">
        <v>66</v>
      </c>
    </row>
    <row r="25" customFormat="false" ht="15" hidden="false" customHeight="false" outlineLevel="0" collapsed="false">
      <c r="A25" s="9"/>
      <c r="B25" s="9" t="s">
        <v>67</v>
      </c>
      <c r="C25" s="9"/>
      <c r="D25" s="9"/>
      <c r="E25" s="9"/>
      <c r="F25" s="9"/>
      <c r="G25" s="9" t="s">
        <v>68</v>
      </c>
      <c r="H25" s="9"/>
      <c r="I25" s="9"/>
      <c r="J25" s="9"/>
      <c r="K25" s="9" t="s">
        <v>69</v>
      </c>
      <c r="L25" s="9"/>
      <c r="M25" s="9"/>
      <c r="N25" s="9"/>
      <c r="O25" s="9" t="s">
        <v>70</v>
      </c>
    </row>
    <row r="26" customFormat="false" ht="15" hidden="false" customHeight="false" outlineLevel="0" collapsed="false">
      <c r="B26" s="13" t="s">
        <v>71</v>
      </c>
      <c r="G26" s="13" t="n">
        <f aca="false">COUNTIF(G6:G22,"Very high")</f>
        <v>2</v>
      </c>
      <c r="K26" s="13" t="n">
        <f aca="false">COUNTIF(K6:K22,"Very high")</f>
        <v>2</v>
      </c>
      <c r="O26" s="13" t="n">
        <f aca="false">COUNTIF(O6:O22,"Very high")</f>
        <v>0</v>
      </c>
    </row>
    <row r="27" customFormat="false" ht="15" hidden="false" customHeight="false" outlineLevel="0" collapsed="false">
      <c r="B27" s="13" t="s">
        <v>63</v>
      </c>
      <c r="G27" s="13" t="n">
        <f aca="false">COUNTIF(G6:G22,"High")</f>
        <v>9</v>
      </c>
      <c r="K27" s="13" t="n">
        <f aca="false">COUNTIF(K6:K22,"High")</f>
        <v>4</v>
      </c>
      <c r="O27" s="13" t="n">
        <f aca="false">COUNTIF(O6:O22,"High")</f>
        <v>0</v>
      </c>
    </row>
    <row r="28" customFormat="false" ht="15" hidden="false" customHeight="false" outlineLevel="0" collapsed="false">
      <c r="B28" s="13" t="s">
        <v>64</v>
      </c>
      <c r="G28" s="13" t="n">
        <f aca="false">COUNTIF(G6:G22,"Medium")</f>
        <v>6</v>
      </c>
      <c r="K28" s="13" t="n">
        <f aca="false">COUNTIF(K6:K22,"Medium")</f>
        <v>11</v>
      </c>
      <c r="O28" s="13" t="n">
        <f aca="false">COUNTIF(O6:O22,"Medium")</f>
        <v>10</v>
      </c>
    </row>
    <row r="29" customFormat="false" ht="15" hidden="false" customHeight="false" outlineLevel="0" collapsed="false">
      <c r="B29" s="13" t="s">
        <v>65</v>
      </c>
      <c r="G29" s="13" t="n">
        <f aca="false">COUNTIF(G6:G22,"Low")</f>
        <v>0</v>
      </c>
      <c r="K29" s="13" t="n">
        <f aca="false">COUNTIF(K6:K22,"Low")</f>
        <v>0</v>
      </c>
      <c r="O29" s="13" t="n">
        <f aca="false">COUNTIF(O6:O22,"Low")</f>
        <v>7</v>
      </c>
    </row>
  </sheetData>
  <conditionalFormatting sqref="G6:G22">
    <cfRule type="cellIs" priority="2" operator="equal" aboveAverage="0" equalAverage="0" bottom="0" percent="0" rank="0" text="" dxfId="3">
      <formula>"Very high"</formula>
    </cfRule>
    <cfRule type="cellIs" priority="3" operator="equal" aboveAverage="0" equalAverage="0" bottom="0" percent="0" rank="0" text="" dxfId="0">
      <formula>"High"</formula>
    </cfRule>
    <cfRule type="cellIs" priority="4" operator="equal" aboveAverage="0" equalAverage="0" bottom="0" percent="0" rank="0" text="" dxfId="1">
      <formula>"Medium"</formula>
    </cfRule>
    <cfRule type="cellIs" priority="5" operator="equal" aboveAverage="0" equalAverage="0" bottom="0" percent="0" rank="0" text="" dxfId="2">
      <formula>"Low"</formula>
    </cfRule>
  </conditionalFormatting>
  <conditionalFormatting sqref="K6:K22">
    <cfRule type="cellIs" priority="6" operator="equal" aboveAverage="0" equalAverage="0" bottom="0" percent="0" rank="0" text="" dxfId="3">
      <formula>"Very high"</formula>
    </cfRule>
    <cfRule type="cellIs" priority="7" operator="equal" aboveAverage="0" equalAverage="0" bottom="0" percent="0" rank="0" text="" dxfId="0">
      <formula>"High"</formula>
    </cfRule>
    <cfRule type="cellIs" priority="8" operator="equal" aboveAverage="0" equalAverage="0" bottom="0" percent="0" rank="0" text="" dxfId="1">
      <formula>"Medium"</formula>
    </cfRule>
    <cfRule type="cellIs" priority="9" operator="equal" aboveAverage="0" equalAverage="0" bottom="0" percent="0" rank="0" text="" dxfId="2">
      <formula>"Low"</formula>
    </cfRule>
  </conditionalFormatting>
  <conditionalFormatting sqref="O6:O22">
    <cfRule type="cellIs" priority="10" operator="equal" aboveAverage="0" equalAverage="0" bottom="0" percent="0" rank="0" text="" dxfId="3">
      <formula>"Very high"</formula>
    </cfRule>
    <cfRule type="cellIs" priority="11" operator="equal" aboveAverage="0" equalAverage="0" bottom="0" percent="0" rank="0" text="" dxfId="0">
      <formula>"High"</formula>
    </cfRule>
    <cfRule type="cellIs" priority="12" operator="equal" aboveAverage="0" equalAverage="0" bottom="0" percent="0" rank="0" text="" dxfId="1">
      <formula>"Medium"</formula>
    </cfRule>
    <cfRule type="cellIs" priority="13" operator="equal" aboveAverage="0" equalAverage="0" bottom="0" percent="0" rank="0" text="" dxfId="2">
      <formula>"Low"</formula>
    </cfRule>
  </conditionalFormatting>
  <dataValidations count="1">
    <dataValidation allowBlank="false" errorStyle="stop" operator="between" showDropDown="false" showErrorMessage="false" showInputMessage="false" sqref="D6:E22 H6:I22 L6:M22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0"/>
    <col collapsed="false" customWidth="true" hidden="false" outlineLevel="0" max="4" min="4" style="0" width="60"/>
    <col collapsed="false" customWidth="true" hidden="false" outlineLevel="0" max="5" min="5" style="0" width="28"/>
    <col collapsed="false" customWidth="true" hidden="false" outlineLevel="0" max="6" min="6" style="0" width="24"/>
    <col collapsed="false" customWidth="true" hidden="false" outlineLevel="0" max="7" min="7" style="0" width="16"/>
    <col collapsed="false" customWidth="true" hidden="false" outlineLevel="0" max="8" min="8" style="0" width="40"/>
    <col collapsed="false" customWidth="true" hidden="false" outlineLevel="0" max="9" min="9" style="0" width="13"/>
    <col collapsed="false" customWidth="true" hidden="false" outlineLevel="0" max="10" min="10" style="0" width="24"/>
  </cols>
  <sheetData>
    <row r="1" customFormat="false" ht="17.35" hidden="false" customHeight="false" outlineLevel="0" collapsed="false">
      <c r="A1" s="15" t="s">
        <v>340</v>
      </c>
    </row>
    <row r="2" customFormat="false" ht="15" hidden="false" customHeight="false" outlineLevel="0" collapsed="false">
      <c r="A2" s="16" t="s">
        <v>341</v>
      </c>
    </row>
    <row r="4" customFormat="false" ht="15" hidden="false" customHeight="false" outlineLevel="0" collapsed="false">
      <c r="A4" s="9" t="s">
        <v>342</v>
      </c>
      <c r="B4" s="9" t="s">
        <v>75</v>
      </c>
      <c r="C4" s="9" t="s">
        <v>76</v>
      </c>
      <c r="D4" s="9" t="s">
        <v>343</v>
      </c>
      <c r="E4" s="9" t="s">
        <v>301</v>
      </c>
      <c r="F4" s="9" t="s">
        <v>344</v>
      </c>
      <c r="G4" s="9" t="s">
        <v>345</v>
      </c>
      <c r="H4" s="9" t="s">
        <v>346</v>
      </c>
      <c r="I4" s="9" t="s">
        <v>84</v>
      </c>
      <c r="J4" s="9" t="s">
        <v>347</v>
      </c>
    </row>
    <row r="5" customFormat="false" ht="23.85" hidden="false" customHeight="false" outlineLevel="0" collapsed="false">
      <c r="A5" s="17" t="s">
        <v>94</v>
      </c>
      <c r="B5" s="18" t="s">
        <v>85</v>
      </c>
      <c r="C5" s="18" t="str">
        <f aca="false">INDEX(Findings!$C$5:$C$26,MATCH(B5,Findings!$A$5:$A$26,0))</f>
        <v>High</v>
      </c>
      <c r="D5" s="18" t="s">
        <v>348</v>
      </c>
      <c r="E5" s="18" t="s">
        <v>349</v>
      </c>
      <c r="F5" s="18" t="s">
        <v>350</v>
      </c>
      <c r="G5" s="18" t="s">
        <v>351</v>
      </c>
      <c r="H5" s="18" t="s">
        <v>352</v>
      </c>
      <c r="I5" s="19" t="s">
        <v>95</v>
      </c>
      <c r="J5" s="19"/>
    </row>
    <row r="6" customFormat="false" ht="23.85" hidden="false" customHeight="false" outlineLevel="0" collapsed="false">
      <c r="A6" s="17" t="s">
        <v>102</v>
      </c>
      <c r="B6" s="18" t="s">
        <v>96</v>
      </c>
      <c r="C6" s="18" t="str">
        <f aca="false">INDEX(Findings!$C$5:$C$26,MATCH(B6,Findings!$A$5:$A$26,0))</f>
        <v>High</v>
      </c>
      <c r="D6" s="18" t="s">
        <v>353</v>
      </c>
      <c r="E6" s="18" t="s">
        <v>349</v>
      </c>
      <c r="F6" s="18" t="s">
        <v>350</v>
      </c>
      <c r="G6" s="18" t="s">
        <v>351</v>
      </c>
      <c r="H6" s="18" t="s">
        <v>354</v>
      </c>
      <c r="I6" s="19" t="s">
        <v>95</v>
      </c>
      <c r="J6" s="19"/>
    </row>
    <row r="7" customFormat="false" ht="23.85" hidden="false" customHeight="false" outlineLevel="0" collapsed="false">
      <c r="A7" s="17" t="s">
        <v>112</v>
      </c>
      <c r="B7" s="18" t="s">
        <v>103</v>
      </c>
      <c r="C7" s="18" t="str">
        <f aca="false">INDEX(Findings!$C$5:$C$26,MATCH(B7,Findings!$A$5:$A$26,0))</f>
        <v>High</v>
      </c>
      <c r="D7" s="18" t="s">
        <v>355</v>
      </c>
      <c r="E7" s="18" t="s">
        <v>356</v>
      </c>
      <c r="F7" s="18" t="s">
        <v>350</v>
      </c>
      <c r="G7" s="18" t="s">
        <v>351</v>
      </c>
      <c r="H7" s="18" t="s">
        <v>357</v>
      </c>
      <c r="I7" s="19" t="s">
        <v>95</v>
      </c>
      <c r="J7" s="19"/>
    </row>
    <row r="8" customFormat="false" ht="23.85" hidden="false" customHeight="false" outlineLevel="0" collapsed="false">
      <c r="A8" s="17" t="s">
        <v>122</v>
      </c>
      <c r="B8" s="18" t="s">
        <v>113</v>
      </c>
      <c r="C8" s="18" t="str">
        <f aca="false">INDEX(Findings!$C$5:$C$26,MATCH(B8,Findings!$A$5:$A$26,0))</f>
        <v>High</v>
      </c>
      <c r="D8" s="18" t="s">
        <v>358</v>
      </c>
      <c r="E8" s="18" t="s">
        <v>359</v>
      </c>
      <c r="F8" s="18" t="s">
        <v>350</v>
      </c>
      <c r="G8" s="18" t="s">
        <v>360</v>
      </c>
      <c r="H8" s="18" t="s">
        <v>361</v>
      </c>
      <c r="I8" s="19" t="s">
        <v>95</v>
      </c>
      <c r="J8" s="19"/>
    </row>
    <row r="9" customFormat="false" ht="23.85" hidden="false" customHeight="false" outlineLevel="0" collapsed="false">
      <c r="A9" s="17" t="s">
        <v>132</v>
      </c>
      <c r="B9" s="18" t="s">
        <v>123</v>
      </c>
      <c r="C9" s="18" t="str">
        <f aca="false">INDEX(Findings!$C$5:$C$26,MATCH(B9,Findings!$A$5:$A$26,0))</f>
        <v>High</v>
      </c>
      <c r="D9" s="18" t="s">
        <v>362</v>
      </c>
      <c r="E9" s="18" t="s">
        <v>328</v>
      </c>
      <c r="F9" s="18" t="s">
        <v>350</v>
      </c>
      <c r="G9" s="18" t="s">
        <v>351</v>
      </c>
      <c r="H9" s="18" t="s">
        <v>363</v>
      </c>
      <c r="I9" s="19" t="s">
        <v>95</v>
      </c>
      <c r="J9" s="19"/>
    </row>
    <row r="10" customFormat="false" ht="23.85" hidden="false" customHeight="false" outlineLevel="0" collapsed="false">
      <c r="A10" s="17" t="s">
        <v>142</v>
      </c>
      <c r="B10" s="18" t="s">
        <v>133</v>
      </c>
      <c r="C10" s="18" t="str">
        <f aca="false">INDEX(Findings!$C$5:$C$26,MATCH(B10,Findings!$A$5:$A$26,0))</f>
        <v>Medium</v>
      </c>
      <c r="D10" s="18" t="s">
        <v>364</v>
      </c>
      <c r="E10" s="18" t="s">
        <v>365</v>
      </c>
      <c r="F10" s="18" t="s">
        <v>366</v>
      </c>
      <c r="G10" s="18" t="s">
        <v>360</v>
      </c>
      <c r="H10" s="18" t="s">
        <v>367</v>
      </c>
      <c r="I10" s="19" t="s">
        <v>95</v>
      </c>
      <c r="J10" s="19"/>
    </row>
    <row r="11" customFormat="false" ht="23.85" hidden="false" customHeight="false" outlineLevel="0" collapsed="false">
      <c r="A11" s="17" t="s">
        <v>152</v>
      </c>
      <c r="B11" s="18" t="s">
        <v>143</v>
      </c>
      <c r="C11" s="18" t="str">
        <f aca="false">INDEX(Findings!$C$5:$C$26,MATCH(B11,Findings!$A$5:$A$26,0))</f>
        <v>Medium</v>
      </c>
      <c r="D11" s="18" t="s">
        <v>368</v>
      </c>
      <c r="E11" s="18" t="s">
        <v>369</v>
      </c>
      <c r="F11" s="18" t="s">
        <v>370</v>
      </c>
      <c r="G11" s="18" t="s">
        <v>371</v>
      </c>
      <c r="H11" s="18" t="s">
        <v>372</v>
      </c>
      <c r="I11" s="19" t="s">
        <v>95</v>
      </c>
      <c r="J11" s="19"/>
    </row>
    <row r="12" customFormat="false" ht="23.85" hidden="false" customHeight="false" outlineLevel="0" collapsed="false">
      <c r="A12" s="17" t="s">
        <v>162</v>
      </c>
      <c r="B12" s="18" t="s">
        <v>153</v>
      </c>
      <c r="C12" s="18" t="str">
        <f aca="false">INDEX(Findings!$C$5:$C$26,MATCH(B12,Findings!$A$5:$A$26,0))</f>
        <v>Medium</v>
      </c>
      <c r="D12" s="18" t="s">
        <v>373</v>
      </c>
      <c r="E12" s="18" t="s">
        <v>374</v>
      </c>
      <c r="F12" s="18" t="s">
        <v>375</v>
      </c>
      <c r="G12" s="18" t="s">
        <v>351</v>
      </c>
      <c r="H12" s="18" t="s">
        <v>376</v>
      </c>
      <c r="I12" s="19" t="s">
        <v>95</v>
      </c>
      <c r="J12" s="19"/>
    </row>
    <row r="13" customFormat="false" ht="23.85" hidden="false" customHeight="false" outlineLevel="0" collapsed="false">
      <c r="A13" s="17" t="s">
        <v>171</v>
      </c>
      <c r="B13" s="18" t="s">
        <v>163</v>
      </c>
      <c r="C13" s="18" t="str">
        <f aca="false">INDEX(Findings!$C$5:$C$26,MATCH(B13,Findings!$A$5:$A$26,0))</f>
        <v>Medium</v>
      </c>
      <c r="D13" s="18" t="s">
        <v>377</v>
      </c>
      <c r="E13" s="18" t="s">
        <v>378</v>
      </c>
      <c r="F13" s="18" t="s">
        <v>370</v>
      </c>
      <c r="G13" s="18" t="s">
        <v>371</v>
      </c>
      <c r="H13" s="18" t="s">
        <v>379</v>
      </c>
      <c r="I13" s="19" t="s">
        <v>95</v>
      </c>
      <c r="J13" s="19"/>
    </row>
    <row r="14" customFormat="false" ht="15" hidden="false" customHeight="false" outlineLevel="0" collapsed="false">
      <c r="A14" s="17" t="s">
        <v>181</v>
      </c>
      <c r="B14" s="18" t="s">
        <v>172</v>
      </c>
      <c r="C14" s="18" t="str">
        <f aca="false">INDEX(Findings!$C$5:$C$26,MATCH(B14,Findings!$A$5:$A$26,0))</f>
        <v>Medium</v>
      </c>
      <c r="D14" s="18" t="s">
        <v>380</v>
      </c>
      <c r="E14" s="18" t="s">
        <v>374</v>
      </c>
      <c r="F14" s="18" t="s">
        <v>370</v>
      </c>
      <c r="G14" s="18" t="s">
        <v>371</v>
      </c>
      <c r="H14" s="18" t="s">
        <v>381</v>
      </c>
      <c r="I14" s="19" t="s">
        <v>95</v>
      </c>
      <c r="J14" s="19"/>
    </row>
    <row r="15" customFormat="false" ht="23.85" hidden="false" customHeight="false" outlineLevel="0" collapsed="false">
      <c r="A15" s="17" t="s">
        <v>191</v>
      </c>
      <c r="B15" s="18" t="s">
        <v>182</v>
      </c>
      <c r="C15" s="18" t="str">
        <f aca="false">INDEX(Findings!$C$5:$C$26,MATCH(B15,Findings!$A$5:$A$26,0))</f>
        <v>Medium</v>
      </c>
      <c r="D15" s="18" t="s">
        <v>382</v>
      </c>
      <c r="E15" s="18" t="s">
        <v>356</v>
      </c>
      <c r="F15" s="18" t="s">
        <v>370</v>
      </c>
      <c r="G15" s="18" t="s">
        <v>371</v>
      </c>
      <c r="H15" s="18" t="s">
        <v>383</v>
      </c>
      <c r="I15" s="19" t="s">
        <v>95</v>
      </c>
      <c r="J15" s="19"/>
    </row>
    <row r="16" customFormat="false" ht="23.85" hidden="false" customHeight="false" outlineLevel="0" collapsed="false">
      <c r="A16" s="17" t="s">
        <v>201</v>
      </c>
      <c r="B16" s="18" t="s">
        <v>192</v>
      </c>
      <c r="C16" s="18" t="str">
        <f aca="false">INDEX(Findings!$C$5:$C$26,MATCH(B16,Findings!$A$5:$A$26,0))</f>
        <v>Medium</v>
      </c>
      <c r="D16" s="18" t="s">
        <v>384</v>
      </c>
      <c r="E16" s="18" t="s">
        <v>385</v>
      </c>
      <c r="F16" s="18" t="s">
        <v>350</v>
      </c>
      <c r="G16" s="18" t="s">
        <v>351</v>
      </c>
      <c r="H16" s="18" t="s">
        <v>386</v>
      </c>
      <c r="I16" s="19" t="s">
        <v>95</v>
      </c>
      <c r="J16" s="19"/>
    </row>
    <row r="17" customFormat="false" ht="23.85" hidden="false" customHeight="false" outlineLevel="0" collapsed="false">
      <c r="A17" s="17" t="s">
        <v>210</v>
      </c>
      <c r="B17" s="18" t="s">
        <v>202</v>
      </c>
      <c r="C17" s="18" t="str">
        <f aca="false">INDEX(Findings!$C$5:$C$26,MATCH(B17,Findings!$A$5:$A$26,0))</f>
        <v>Medium</v>
      </c>
      <c r="D17" s="18" t="s">
        <v>387</v>
      </c>
      <c r="E17" s="18" t="s">
        <v>374</v>
      </c>
      <c r="F17" s="18" t="s">
        <v>370</v>
      </c>
      <c r="G17" s="18" t="s">
        <v>371</v>
      </c>
      <c r="H17" s="18" t="s">
        <v>388</v>
      </c>
      <c r="I17" s="19" t="s">
        <v>95</v>
      </c>
      <c r="J17" s="19"/>
    </row>
    <row r="18" customFormat="false" ht="15" hidden="false" customHeight="false" outlineLevel="0" collapsed="false">
      <c r="A18" s="17" t="s">
        <v>219</v>
      </c>
      <c r="B18" s="18" t="s">
        <v>211</v>
      </c>
      <c r="C18" s="18" t="str">
        <f aca="false">INDEX(Findings!$C$5:$C$26,MATCH(B18,Findings!$A$5:$A$26,0))</f>
        <v>Medium</v>
      </c>
      <c r="D18" s="18" t="s">
        <v>389</v>
      </c>
      <c r="E18" s="18" t="s">
        <v>374</v>
      </c>
      <c r="F18" s="18" t="s">
        <v>370</v>
      </c>
      <c r="G18" s="18" t="s">
        <v>371</v>
      </c>
      <c r="H18" s="18" t="s">
        <v>390</v>
      </c>
      <c r="I18" s="19" t="s">
        <v>95</v>
      </c>
      <c r="J18" s="19"/>
    </row>
    <row r="19" customFormat="false" ht="23.85" hidden="false" customHeight="false" outlineLevel="0" collapsed="false">
      <c r="A19" s="17" t="s">
        <v>226</v>
      </c>
      <c r="B19" s="18" t="s">
        <v>220</v>
      </c>
      <c r="C19" s="18" t="str">
        <f aca="false">INDEX(Findings!$C$5:$C$26,MATCH(B19,Findings!$A$5:$A$26,0))</f>
        <v>Medium</v>
      </c>
      <c r="D19" s="18" t="s">
        <v>391</v>
      </c>
      <c r="E19" s="18" t="s">
        <v>392</v>
      </c>
      <c r="F19" s="18" t="s">
        <v>393</v>
      </c>
      <c r="G19" s="18" t="s">
        <v>351</v>
      </c>
      <c r="H19" s="18" t="s">
        <v>394</v>
      </c>
      <c r="I19" s="19" t="s">
        <v>95</v>
      </c>
      <c r="J19" s="19"/>
    </row>
    <row r="20" customFormat="false" ht="15" hidden="false" customHeight="false" outlineLevel="0" collapsed="false">
      <c r="A20" s="17" t="s">
        <v>234</v>
      </c>
      <c r="B20" s="18" t="s">
        <v>227</v>
      </c>
      <c r="C20" s="18" t="str">
        <f aca="false">INDEX(Findings!$C$5:$C$26,MATCH(B20,Findings!$A$5:$A$26,0))</f>
        <v>Medium</v>
      </c>
      <c r="D20" s="18" t="s">
        <v>395</v>
      </c>
      <c r="E20" s="18" t="s">
        <v>320</v>
      </c>
      <c r="F20" s="18" t="s">
        <v>350</v>
      </c>
      <c r="G20" s="18" t="s">
        <v>351</v>
      </c>
      <c r="H20" s="18" t="s">
        <v>396</v>
      </c>
      <c r="I20" s="19" t="s">
        <v>95</v>
      </c>
      <c r="J20" s="19"/>
    </row>
    <row r="21" customFormat="false" ht="23.85" hidden="false" customHeight="false" outlineLevel="0" collapsed="false">
      <c r="A21" s="17" t="s">
        <v>244</v>
      </c>
      <c r="B21" s="18" t="s">
        <v>235</v>
      </c>
      <c r="C21" s="18" t="str">
        <f aca="false">INDEX(Findings!$C$5:$C$26,MATCH(B21,Findings!$A$5:$A$26,0))</f>
        <v>Medium</v>
      </c>
      <c r="D21" s="18" t="s">
        <v>397</v>
      </c>
      <c r="E21" s="18" t="s">
        <v>398</v>
      </c>
      <c r="F21" s="18" t="s">
        <v>370</v>
      </c>
      <c r="G21" s="18" t="s">
        <v>371</v>
      </c>
      <c r="H21" s="18" t="s">
        <v>399</v>
      </c>
      <c r="I21" s="19" t="s">
        <v>95</v>
      </c>
      <c r="J21" s="19"/>
    </row>
    <row r="22" customFormat="false" ht="15" hidden="false" customHeight="false" outlineLevel="0" collapsed="false">
      <c r="A22" s="17" t="s">
        <v>254</v>
      </c>
      <c r="B22" s="18" t="s">
        <v>245</v>
      </c>
      <c r="C22" s="18" t="str">
        <f aca="false">INDEX(Findings!$C$5:$C$26,MATCH(B22,Findings!$A$5:$A$26,0))</f>
        <v>Medium</v>
      </c>
      <c r="D22" s="18" t="s">
        <v>400</v>
      </c>
      <c r="E22" s="18" t="s">
        <v>374</v>
      </c>
      <c r="F22" s="18" t="s">
        <v>370</v>
      </c>
      <c r="G22" s="18" t="s">
        <v>371</v>
      </c>
      <c r="H22" s="18" t="s">
        <v>401</v>
      </c>
      <c r="I22" s="19" t="s">
        <v>95</v>
      </c>
      <c r="J22" s="19"/>
    </row>
    <row r="23" customFormat="false" ht="23.85" hidden="false" customHeight="false" outlineLevel="0" collapsed="false">
      <c r="A23" s="17" t="s">
        <v>264</v>
      </c>
      <c r="B23" s="18" t="s">
        <v>255</v>
      </c>
      <c r="C23" s="18" t="str">
        <f aca="false">INDEX(Findings!$C$5:$C$26,MATCH(B23,Findings!$A$5:$A$26,0))</f>
        <v>Medium</v>
      </c>
      <c r="D23" s="18" t="s">
        <v>402</v>
      </c>
      <c r="E23" s="18" t="s">
        <v>374</v>
      </c>
      <c r="F23" s="18" t="s">
        <v>370</v>
      </c>
      <c r="G23" s="18" t="s">
        <v>371</v>
      </c>
      <c r="H23" s="18" t="s">
        <v>403</v>
      </c>
      <c r="I23" s="19" t="s">
        <v>95</v>
      </c>
      <c r="J23" s="19"/>
    </row>
    <row r="24" customFormat="false" ht="23.85" hidden="false" customHeight="false" outlineLevel="0" collapsed="false">
      <c r="A24" s="17" t="s">
        <v>273</v>
      </c>
      <c r="B24" s="18" t="s">
        <v>265</v>
      </c>
      <c r="C24" s="18" t="str">
        <f aca="false">INDEX(Findings!$C$5:$C$26,MATCH(B24,Findings!$A$5:$A$26,0))</f>
        <v>Medium</v>
      </c>
      <c r="D24" s="18" t="s">
        <v>404</v>
      </c>
      <c r="E24" s="18" t="s">
        <v>334</v>
      </c>
      <c r="F24" s="18" t="s">
        <v>370</v>
      </c>
      <c r="G24" s="18" t="s">
        <v>371</v>
      </c>
      <c r="H24" s="18" t="s">
        <v>405</v>
      </c>
      <c r="I24" s="19" t="s">
        <v>95</v>
      </c>
      <c r="J24" s="19"/>
    </row>
    <row r="25" customFormat="false" ht="23.85" hidden="false" customHeight="false" outlineLevel="0" collapsed="false">
      <c r="A25" s="17" t="s">
        <v>283</v>
      </c>
      <c r="B25" s="18" t="s">
        <v>274</v>
      </c>
      <c r="C25" s="18" t="str">
        <f aca="false">INDEX(Findings!$C$5:$C$26,MATCH(B25,Findings!$A$5:$A$26,0))</f>
        <v>Medium</v>
      </c>
      <c r="D25" s="18" t="s">
        <v>406</v>
      </c>
      <c r="E25" s="18" t="s">
        <v>369</v>
      </c>
      <c r="F25" s="18" t="s">
        <v>370</v>
      </c>
      <c r="G25" s="18" t="s">
        <v>371</v>
      </c>
      <c r="H25" s="18" t="s">
        <v>407</v>
      </c>
      <c r="I25" s="19" t="s">
        <v>95</v>
      </c>
      <c r="J25" s="19"/>
    </row>
    <row r="26" customFormat="false" ht="23.85" hidden="false" customHeight="false" outlineLevel="0" collapsed="false">
      <c r="A26" s="17" t="s">
        <v>292</v>
      </c>
      <c r="B26" s="18" t="s">
        <v>284</v>
      </c>
      <c r="C26" s="18" t="str">
        <f aca="false">INDEX(Findings!$C$5:$C$26,MATCH(B26,Findings!$A$5:$A$26,0))</f>
        <v>Low</v>
      </c>
      <c r="D26" s="18" t="s">
        <v>408</v>
      </c>
      <c r="E26" s="18" t="s">
        <v>374</v>
      </c>
      <c r="F26" s="18" t="s">
        <v>409</v>
      </c>
      <c r="G26" s="18" t="s">
        <v>410</v>
      </c>
      <c r="H26" s="18" t="s">
        <v>411</v>
      </c>
      <c r="I26" s="19" t="s">
        <v>95</v>
      </c>
      <c r="J26" s="19"/>
    </row>
  </sheetData>
  <conditionalFormatting sqref="C5:C26">
    <cfRule type="cellIs" priority="2" operator="equal" aboveAverage="0" equalAverage="0" bottom="0" percent="0" rank="0" text="" dxfId="0">
      <formula>"High"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2">
      <formula>"Low"</formula>
    </cfRule>
  </conditionalFormatting>
  <dataValidations count="1">
    <dataValidation allowBlank="true" errorStyle="stop" operator="between" showDropDown="false" showErrorMessage="false" showInputMessage="false" sqref="I5:I26" type="list">
      <formula1>"Open,In progress,Verified,Closed"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2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24"/>
    <col collapsed="false" customWidth="true" hidden="false" outlineLevel="0" max="9" min="9" style="0" width="28"/>
  </cols>
  <sheetData>
    <row r="1" customFormat="false" ht="17.35" hidden="false" customHeight="false" outlineLevel="0" collapsed="false">
      <c r="A1" s="15" t="s">
        <v>412</v>
      </c>
    </row>
    <row r="3" customFormat="false" ht="15" hidden="false" customHeight="false" outlineLevel="0" collapsed="false">
      <c r="A3" s="9" t="s">
        <v>413</v>
      </c>
      <c r="B3" s="9" t="s">
        <v>414</v>
      </c>
      <c r="C3" s="9" t="s">
        <v>415</v>
      </c>
      <c r="D3" s="9" t="s">
        <v>416</v>
      </c>
      <c r="E3" s="9" t="s">
        <v>417</v>
      </c>
      <c r="F3" s="9" t="s">
        <v>418</v>
      </c>
      <c r="G3" s="9" t="s">
        <v>419</v>
      </c>
      <c r="H3" s="9" t="s">
        <v>301</v>
      </c>
      <c r="I3" s="9" t="s">
        <v>79</v>
      </c>
    </row>
    <row r="4" customFormat="false" ht="15" hidden="false" customHeight="false" outlineLevel="0" collapsed="false">
      <c r="A4" s="17" t="s">
        <v>420</v>
      </c>
      <c r="B4" s="18" t="s">
        <v>421</v>
      </c>
      <c r="C4" s="18" t="s">
        <v>422</v>
      </c>
      <c r="D4" s="18" t="s">
        <v>423</v>
      </c>
      <c r="E4" s="18" t="s">
        <v>424</v>
      </c>
      <c r="F4" s="18" t="s">
        <v>425</v>
      </c>
      <c r="G4" s="18" t="s">
        <v>426</v>
      </c>
      <c r="H4" s="18" t="s">
        <v>305</v>
      </c>
      <c r="I4" s="18" t="s">
        <v>427</v>
      </c>
    </row>
    <row r="5" customFormat="false" ht="15" hidden="false" customHeight="false" outlineLevel="0" collapsed="false">
      <c r="A5" s="17" t="s">
        <v>428</v>
      </c>
      <c r="B5" s="18" t="s">
        <v>429</v>
      </c>
      <c r="C5" s="18" t="s">
        <v>430</v>
      </c>
      <c r="D5" s="18" t="s">
        <v>431</v>
      </c>
      <c r="E5" s="18" t="s">
        <v>432</v>
      </c>
      <c r="F5" s="18" t="s">
        <v>433</v>
      </c>
      <c r="G5" s="18" t="s">
        <v>426</v>
      </c>
      <c r="H5" s="18" t="s">
        <v>310</v>
      </c>
      <c r="I5" s="18" t="s">
        <v>434</v>
      </c>
    </row>
    <row r="6" customFormat="false" ht="15" hidden="false" customHeight="false" outlineLevel="0" collapsed="false">
      <c r="A6" s="17" t="s">
        <v>435</v>
      </c>
      <c r="B6" s="18" t="s">
        <v>436</v>
      </c>
      <c r="C6" s="18" t="s">
        <v>430</v>
      </c>
      <c r="D6" s="18" t="s">
        <v>431</v>
      </c>
      <c r="E6" s="18" t="s">
        <v>437</v>
      </c>
      <c r="F6" s="18" t="s">
        <v>438</v>
      </c>
      <c r="G6" s="18" t="s">
        <v>426</v>
      </c>
      <c r="H6" s="18" t="s">
        <v>310</v>
      </c>
      <c r="I6" s="18" t="s">
        <v>340</v>
      </c>
    </row>
    <row r="7" customFormat="false" ht="15" hidden="false" customHeight="false" outlineLevel="0" collapsed="false">
      <c r="A7" s="17" t="s">
        <v>439</v>
      </c>
      <c r="B7" s="18" t="s">
        <v>440</v>
      </c>
      <c r="C7" s="18" t="s">
        <v>441</v>
      </c>
      <c r="D7" s="18" t="s">
        <v>431</v>
      </c>
      <c r="E7" s="18" t="s">
        <v>442</v>
      </c>
      <c r="F7" s="18" t="s">
        <v>443</v>
      </c>
      <c r="G7" s="18" t="s">
        <v>426</v>
      </c>
      <c r="H7" s="18" t="s">
        <v>310</v>
      </c>
      <c r="I7" s="18" t="s">
        <v>444</v>
      </c>
    </row>
    <row r="8" customFormat="false" ht="15" hidden="false" customHeight="false" outlineLevel="0" collapsed="false">
      <c r="A8" s="17" t="s">
        <v>445</v>
      </c>
      <c r="B8" s="18" t="s">
        <v>446</v>
      </c>
      <c r="C8" s="18" t="s">
        <v>447</v>
      </c>
      <c r="D8" s="18" t="s">
        <v>448</v>
      </c>
      <c r="E8" s="18" t="s">
        <v>449</v>
      </c>
      <c r="F8" s="18" t="s">
        <v>450</v>
      </c>
      <c r="G8" s="18" t="s">
        <v>451</v>
      </c>
      <c r="H8" s="18" t="s">
        <v>310</v>
      </c>
      <c r="I8" s="18" t="s">
        <v>452</v>
      </c>
    </row>
    <row r="9" customFormat="false" ht="15" hidden="false" customHeight="false" outlineLevel="0" collapsed="false">
      <c r="A9" s="17" t="s">
        <v>453</v>
      </c>
      <c r="B9" s="18" t="s">
        <v>454</v>
      </c>
      <c r="C9" s="18" t="s">
        <v>455</v>
      </c>
      <c r="D9" s="18" t="s">
        <v>456</v>
      </c>
      <c r="E9" s="18" t="s">
        <v>457</v>
      </c>
      <c r="F9" s="18" t="s">
        <v>458</v>
      </c>
      <c r="G9" s="18" t="s">
        <v>426</v>
      </c>
      <c r="H9" s="18" t="s">
        <v>459</v>
      </c>
      <c r="I9" s="18" t="s">
        <v>460</v>
      </c>
    </row>
    <row r="10" customFormat="false" ht="15" hidden="false" customHeight="false" outlineLevel="0" collapsed="false">
      <c r="A10" s="17" t="s">
        <v>461</v>
      </c>
      <c r="B10" s="18" t="s">
        <v>462</v>
      </c>
      <c r="C10" s="18" t="s">
        <v>463</v>
      </c>
      <c r="D10" s="18" t="s">
        <v>464</v>
      </c>
      <c r="E10" s="18" t="s">
        <v>465</v>
      </c>
      <c r="F10" s="18" t="s">
        <v>466</v>
      </c>
      <c r="G10" s="18" t="s">
        <v>451</v>
      </c>
      <c r="H10" s="18" t="s">
        <v>305</v>
      </c>
      <c r="I10" s="18" t="s">
        <v>467</v>
      </c>
    </row>
    <row r="11" customFormat="false" ht="15" hidden="false" customHeight="false" outlineLevel="0" collapsed="false">
      <c r="A11" s="17" t="s">
        <v>468</v>
      </c>
      <c r="B11" s="18" t="s">
        <v>469</v>
      </c>
      <c r="C11" s="18" t="s">
        <v>441</v>
      </c>
      <c r="D11" s="18" t="s">
        <v>431</v>
      </c>
      <c r="E11" s="18" t="s">
        <v>437</v>
      </c>
      <c r="F11" s="18" t="s">
        <v>438</v>
      </c>
      <c r="G11" s="18" t="s">
        <v>426</v>
      </c>
      <c r="H11" s="18" t="s">
        <v>470</v>
      </c>
      <c r="I11" s="18" t="s">
        <v>471</v>
      </c>
    </row>
    <row r="12" customFormat="false" ht="15" hidden="false" customHeight="false" outlineLevel="0" collapsed="false">
      <c r="A12" s="17" t="s">
        <v>472</v>
      </c>
      <c r="B12" s="18" t="s">
        <v>473</v>
      </c>
      <c r="C12" s="18" t="s">
        <v>441</v>
      </c>
      <c r="D12" s="18" t="s">
        <v>431</v>
      </c>
      <c r="E12" s="18" t="s">
        <v>474</v>
      </c>
      <c r="F12" s="18" t="s">
        <v>475</v>
      </c>
      <c r="G12" s="18" t="s">
        <v>426</v>
      </c>
      <c r="H12" s="18" t="s">
        <v>312</v>
      </c>
      <c r="I12" s="18" t="s">
        <v>476</v>
      </c>
    </row>
    <row r="13" customFormat="false" ht="15" hidden="false" customHeight="false" outlineLevel="0" collapsed="false">
      <c r="A13" s="17" t="s">
        <v>477</v>
      </c>
      <c r="B13" s="18" t="s">
        <v>478</v>
      </c>
      <c r="C13" s="18" t="s">
        <v>441</v>
      </c>
      <c r="D13" s="18" t="s">
        <v>431</v>
      </c>
      <c r="E13" s="18" t="s">
        <v>432</v>
      </c>
      <c r="F13" s="18" t="s">
        <v>433</v>
      </c>
      <c r="G13" s="18" t="s">
        <v>426</v>
      </c>
      <c r="H13" s="18" t="s">
        <v>312</v>
      </c>
      <c r="I13" s="18" t="s">
        <v>479</v>
      </c>
    </row>
    <row r="14" customFormat="false" ht="15" hidden="false" customHeight="false" outlineLevel="0" collapsed="false">
      <c r="A14" s="17" t="s">
        <v>480</v>
      </c>
      <c r="B14" s="18" t="s">
        <v>481</v>
      </c>
      <c r="C14" s="18" t="s">
        <v>482</v>
      </c>
      <c r="D14" s="18" t="s">
        <v>431</v>
      </c>
      <c r="E14" s="18" t="s">
        <v>474</v>
      </c>
      <c r="F14" s="18" t="s">
        <v>475</v>
      </c>
      <c r="G14" s="18" t="s">
        <v>451</v>
      </c>
      <c r="H14" s="18" t="s">
        <v>310</v>
      </c>
      <c r="I14" s="18" t="s">
        <v>483</v>
      </c>
    </row>
    <row r="15" customFormat="false" ht="15" hidden="false" customHeight="false" outlineLevel="0" collapsed="false">
      <c r="A15" s="17" t="s">
        <v>484</v>
      </c>
      <c r="B15" s="18" t="s">
        <v>485</v>
      </c>
      <c r="C15" s="18" t="s">
        <v>463</v>
      </c>
      <c r="D15" s="18" t="s">
        <v>464</v>
      </c>
      <c r="E15" s="18" t="s">
        <v>465</v>
      </c>
      <c r="F15" s="18" t="s">
        <v>466</v>
      </c>
      <c r="G15" s="18" t="s">
        <v>486</v>
      </c>
      <c r="H15" s="18" t="s">
        <v>310</v>
      </c>
      <c r="I15" s="18" t="s">
        <v>487</v>
      </c>
    </row>
    <row r="16" customFormat="false" ht="15" hidden="false" customHeight="false" outlineLevel="0" collapsed="false">
      <c r="A16" s="17" t="s">
        <v>488</v>
      </c>
      <c r="B16" s="18" t="s">
        <v>489</v>
      </c>
      <c r="C16" s="18" t="s">
        <v>490</v>
      </c>
      <c r="D16" s="18" t="s">
        <v>491</v>
      </c>
      <c r="E16" s="18" t="s">
        <v>492</v>
      </c>
      <c r="F16" s="18" t="s">
        <v>493</v>
      </c>
      <c r="G16" s="18" t="s">
        <v>494</v>
      </c>
      <c r="H16" s="18" t="s">
        <v>310</v>
      </c>
      <c r="I16" s="18" t="s">
        <v>381</v>
      </c>
    </row>
    <row r="19" customFormat="false" ht="15" hidden="false" customHeight="false" outlineLevel="0" collapsed="false">
      <c r="A19" s="12" t="s">
        <v>495</v>
      </c>
    </row>
    <row r="20" customFormat="false" ht="15" hidden="false" customHeight="false" outlineLevel="0" collapsed="false">
      <c r="A20" s="9"/>
      <c r="B20" s="9" t="s">
        <v>496</v>
      </c>
      <c r="C20" s="9" t="s">
        <v>497</v>
      </c>
      <c r="D20" s="9"/>
      <c r="E20" s="9"/>
      <c r="F20" s="9"/>
      <c r="G20" s="9"/>
      <c r="H20" s="9" t="s">
        <v>301</v>
      </c>
    </row>
    <row r="21" customFormat="false" ht="15" hidden="false" customHeight="false" outlineLevel="0" collapsed="false">
      <c r="B21" s="13" t="s">
        <v>426</v>
      </c>
      <c r="C21" s="6" t="s">
        <v>498</v>
      </c>
      <c r="H21" s="13" t="s">
        <v>310</v>
      </c>
    </row>
    <row r="22" customFormat="false" ht="15" hidden="false" customHeight="false" outlineLevel="0" collapsed="false">
      <c r="B22" s="13" t="s">
        <v>451</v>
      </c>
      <c r="C22" s="6" t="s">
        <v>499</v>
      </c>
      <c r="H22" s="13" t="s">
        <v>500</v>
      </c>
    </row>
    <row r="23" customFormat="false" ht="15" hidden="false" customHeight="false" outlineLevel="0" collapsed="false">
      <c r="B23" s="13" t="s">
        <v>501</v>
      </c>
      <c r="C23" s="6" t="s">
        <v>502</v>
      </c>
      <c r="H23" s="13" t="s">
        <v>310</v>
      </c>
    </row>
    <row r="24" customFormat="false" ht="15" hidden="false" customHeight="false" outlineLevel="0" collapsed="false">
      <c r="B24" s="13" t="s">
        <v>494</v>
      </c>
      <c r="C24" s="6" t="s">
        <v>503</v>
      </c>
      <c r="H24" s="13" t="s">
        <v>310</v>
      </c>
    </row>
    <row r="25" customFormat="false" ht="15" hidden="false" customHeight="false" outlineLevel="0" collapsed="false">
      <c r="B25" s="13" t="s">
        <v>504</v>
      </c>
      <c r="C25" s="6" t="s">
        <v>505</v>
      </c>
      <c r="H25" s="13" t="s">
        <v>310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2"/>
    <col collapsed="false" customWidth="true" hidden="false" outlineLevel="0" max="4" min="3" style="0" width="26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15" t="s">
        <v>506</v>
      </c>
    </row>
    <row r="2" customFormat="false" ht="15" hidden="false" customHeight="false" outlineLevel="0" collapsed="false">
      <c r="A2" s="16" t="s">
        <v>507</v>
      </c>
    </row>
    <row r="4" customFormat="false" ht="23.85" hidden="false" customHeight="false" outlineLevel="0" collapsed="false">
      <c r="A4" s="9" t="s">
        <v>508</v>
      </c>
      <c r="B4" s="9" t="s">
        <v>509</v>
      </c>
      <c r="C4" s="9" t="s">
        <v>510</v>
      </c>
      <c r="D4" s="9" t="s">
        <v>511</v>
      </c>
      <c r="E4" s="9" t="s">
        <v>512</v>
      </c>
      <c r="F4" s="9" t="s">
        <v>513</v>
      </c>
      <c r="G4" s="9" t="s">
        <v>514</v>
      </c>
    </row>
    <row r="5" customFormat="false" ht="15" hidden="false" customHeight="false" outlineLevel="0" collapsed="false">
      <c r="A5" s="17" t="s">
        <v>515</v>
      </c>
      <c r="B5" s="18" t="s">
        <v>516</v>
      </c>
      <c r="C5" s="18" t="s">
        <v>374</v>
      </c>
      <c r="D5" s="18" t="s">
        <v>517</v>
      </c>
      <c r="E5" s="18" t="s">
        <v>518</v>
      </c>
      <c r="F5" s="18" t="s">
        <v>155</v>
      </c>
      <c r="G5" s="18" t="s">
        <v>519</v>
      </c>
    </row>
    <row r="6" customFormat="false" ht="23.85" hidden="false" customHeight="false" outlineLevel="0" collapsed="false">
      <c r="A6" s="17" t="s">
        <v>520</v>
      </c>
      <c r="B6" s="18" t="s">
        <v>521</v>
      </c>
      <c r="C6" s="18" t="s">
        <v>374</v>
      </c>
      <c r="D6" s="18" t="s">
        <v>522</v>
      </c>
      <c r="E6" s="18" t="s">
        <v>523</v>
      </c>
      <c r="F6" s="18" t="s">
        <v>155</v>
      </c>
      <c r="G6" s="18" t="s">
        <v>524</v>
      </c>
    </row>
    <row r="7" customFormat="false" ht="23.85" hidden="false" customHeight="false" outlineLevel="0" collapsed="false">
      <c r="A7" s="17" t="s">
        <v>525</v>
      </c>
      <c r="B7" s="18" t="s">
        <v>526</v>
      </c>
      <c r="C7" s="18" t="s">
        <v>527</v>
      </c>
      <c r="D7" s="18" t="s">
        <v>528</v>
      </c>
      <c r="E7" s="18" t="s">
        <v>518</v>
      </c>
      <c r="F7" s="18" t="s">
        <v>529</v>
      </c>
      <c r="G7" s="18" t="s">
        <v>530</v>
      </c>
    </row>
    <row r="8" customFormat="false" ht="23.85" hidden="false" customHeight="false" outlineLevel="0" collapsed="false">
      <c r="A8" s="17" t="s">
        <v>139</v>
      </c>
      <c r="B8" s="18" t="s">
        <v>531</v>
      </c>
      <c r="C8" s="18" t="s">
        <v>374</v>
      </c>
      <c r="D8" s="18" t="s">
        <v>532</v>
      </c>
      <c r="E8" s="18" t="s">
        <v>533</v>
      </c>
      <c r="F8" s="18" t="s">
        <v>534</v>
      </c>
      <c r="G8" s="18" t="s">
        <v>535</v>
      </c>
    </row>
    <row r="9" customFormat="false" ht="15" hidden="false" customHeight="false" outlineLevel="0" collapsed="false">
      <c r="A9" s="17" t="s">
        <v>251</v>
      </c>
      <c r="B9" s="18" t="s">
        <v>536</v>
      </c>
      <c r="C9" s="18" t="s">
        <v>374</v>
      </c>
      <c r="D9" s="18" t="s">
        <v>537</v>
      </c>
      <c r="E9" s="18" t="s">
        <v>64</v>
      </c>
      <c r="F9" s="18" t="s">
        <v>538</v>
      </c>
      <c r="G9" s="18" t="s">
        <v>539</v>
      </c>
    </row>
    <row r="10" customFormat="false" ht="23.85" hidden="false" customHeight="false" outlineLevel="0" collapsed="false">
      <c r="A10" s="17" t="s">
        <v>91</v>
      </c>
      <c r="B10" s="18" t="s">
        <v>540</v>
      </c>
      <c r="C10" s="18" t="s">
        <v>374</v>
      </c>
      <c r="D10" s="18" t="s">
        <v>541</v>
      </c>
      <c r="E10" s="18" t="s">
        <v>64</v>
      </c>
      <c r="F10" s="18" t="s">
        <v>542</v>
      </c>
      <c r="G10" s="18" t="s">
        <v>543</v>
      </c>
    </row>
    <row r="11" customFormat="false" ht="15" hidden="false" customHeight="false" outlineLevel="0" collapsed="false">
      <c r="A11" s="17" t="s">
        <v>544</v>
      </c>
      <c r="B11" s="18" t="s">
        <v>545</v>
      </c>
      <c r="C11" s="18" t="s">
        <v>374</v>
      </c>
      <c r="D11" s="18" t="s">
        <v>541</v>
      </c>
      <c r="E11" s="18" t="s">
        <v>64</v>
      </c>
      <c r="F11" s="18" t="s">
        <v>546</v>
      </c>
      <c r="G11" s="18" t="s">
        <v>547</v>
      </c>
    </row>
    <row r="12" customFormat="false" ht="15" hidden="false" customHeight="false" outlineLevel="0" collapsed="false">
      <c r="A12" s="17" t="s">
        <v>168</v>
      </c>
      <c r="B12" s="18" t="s">
        <v>548</v>
      </c>
      <c r="C12" s="18" t="s">
        <v>374</v>
      </c>
      <c r="D12" s="18" t="s">
        <v>541</v>
      </c>
      <c r="E12" s="18" t="s">
        <v>518</v>
      </c>
      <c r="F12" s="18" t="s">
        <v>549</v>
      </c>
      <c r="G12" s="18" t="s">
        <v>550</v>
      </c>
    </row>
    <row r="13" customFormat="false" ht="15" hidden="false" customHeight="false" outlineLevel="0" collapsed="false">
      <c r="A13" s="17" t="s">
        <v>261</v>
      </c>
      <c r="B13" s="18" t="s">
        <v>551</v>
      </c>
      <c r="C13" s="18" t="s">
        <v>374</v>
      </c>
      <c r="D13" s="18" t="s">
        <v>552</v>
      </c>
      <c r="E13" s="18" t="s">
        <v>64</v>
      </c>
      <c r="F13" s="18" t="s">
        <v>553</v>
      </c>
      <c r="G13" s="18" t="s">
        <v>554</v>
      </c>
    </row>
    <row r="14" customFormat="false" ht="15" hidden="false" customHeight="false" outlineLevel="0" collapsed="false">
      <c r="A14" s="17" t="s">
        <v>555</v>
      </c>
      <c r="B14" s="18" t="s">
        <v>556</v>
      </c>
      <c r="C14" s="18" t="s">
        <v>374</v>
      </c>
      <c r="D14" s="18" t="s">
        <v>541</v>
      </c>
      <c r="E14" s="18" t="s">
        <v>64</v>
      </c>
      <c r="F14" s="18" t="s">
        <v>557</v>
      </c>
      <c r="G14" s="18" t="s">
        <v>558</v>
      </c>
    </row>
    <row r="15" customFormat="false" ht="15" hidden="false" customHeight="false" outlineLevel="0" collapsed="false">
      <c r="A15" s="17" t="s">
        <v>559</v>
      </c>
      <c r="B15" s="18" t="s">
        <v>560</v>
      </c>
      <c r="C15" s="18" t="s">
        <v>374</v>
      </c>
      <c r="D15" s="18" t="s">
        <v>541</v>
      </c>
      <c r="E15" s="18" t="s">
        <v>561</v>
      </c>
      <c r="F15" s="18" t="s">
        <v>562</v>
      </c>
      <c r="G15" s="18" t="s">
        <v>563</v>
      </c>
    </row>
    <row r="16" customFormat="false" ht="23.85" hidden="false" customHeight="false" outlineLevel="0" collapsed="false">
      <c r="A16" s="17" t="s">
        <v>129</v>
      </c>
      <c r="B16" s="18" t="s">
        <v>564</v>
      </c>
      <c r="C16" s="18" t="s">
        <v>374</v>
      </c>
      <c r="D16" s="18" t="s">
        <v>541</v>
      </c>
      <c r="E16" s="18" t="s">
        <v>565</v>
      </c>
      <c r="F16" s="18" t="s">
        <v>566</v>
      </c>
      <c r="G16" s="18" t="s">
        <v>567</v>
      </c>
    </row>
    <row r="17" customFormat="false" ht="15" hidden="false" customHeight="false" outlineLevel="0" collapsed="false">
      <c r="A17" s="17" t="s">
        <v>178</v>
      </c>
      <c r="B17" s="18" t="s">
        <v>568</v>
      </c>
      <c r="C17" s="18" t="s">
        <v>374</v>
      </c>
      <c r="D17" s="18" t="s">
        <v>569</v>
      </c>
      <c r="E17" s="18" t="s">
        <v>518</v>
      </c>
      <c r="F17" s="18" t="s">
        <v>174</v>
      </c>
      <c r="G17" s="18" t="s">
        <v>570</v>
      </c>
    </row>
    <row r="18" customFormat="false" ht="15" hidden="false" customHeight="false" outlineLevel="0" collapsed="false">
      <c r="A18" s="17" t="s">
        <v>571</v>
      </c>
      <c r="B18" s="18" t="s">
        <v>572</v>
      </c>
      <c r="C18" s="18" t="s">
        <v>573</v>
      </c>
      <c r="D18" s="18" t="s">
        <v>541</v>
      </c>
      <c r="E18" s="18" t="s">
        <v>518</v>
      </c>
      <c r="F18" s="18" t="s">
        <v>574</v>
      </c>
      <c r="G18" s="18" t="s">
        <v>575</v>
      </c>
    </row>
    <row r="19" customFormat="false" ht="15" hidden="false" customHeight="false" outlineLevel="0" collapsed="false">
      <c r="A19" s="17" t="s">
        <v>149</v>
      </c>
      <c r="B19" s="18" t="s">
        <v>576</v>
      </c>
      <c r="C19" s="18" t="s">
        <v>374</v>
      </c>
      <c r="D19" s="18" t="s">
        <v>541</v>
      </c>
      <c r="E19" s="18" t="s">
        <v>518</v>
      </c>
      <c r="F19" s="18" t="s">
        <v>145</v>
      </c>
      <c r="G19" s="18" t="s">
        <v>577</v>
      </c>
    </row>
    <row r="20" customFormat="false" ht="23.85" hidden="false" customHeight="false" outlineLevel="0" collapsed="false">
      <c r="A20" s="17" t="s">
        <v>280</v>
      </c>
      <c r="B20" s="18" t="s">
        <v>578</v>
      </c>
      <c r="C20" s="18" t="s">
        <v>374</v>
      </c>
      <c r="D20" s="18" t="s">
        <v>541</v>
      </c>
      <c r="E20" s="18" t="s">
        <v>64</v>
      </c>
      <c r="F20" s="18" t="s">
        <v>579</v>
      </c>
      <c r="G20" s="18" t="s">
        <v>580</v>
      </c>
    </row>
    <row r="21" customFormat="false" ht="15" hidden="false" customHeight="false" outlineLevel="0" collapsed="false">
      <c r="A21" s="17" t="s">
        <v>188</v>
      </c>
      <c r="B21" s="18" t="s">
        <v>581</v>
      </c>
      <c r="C21" s="18" t="s">
        <v>374</v>
      </c>
      <c r="D21" s="18" t="s">
        <v>541</v>
      </c>
      <c r="E21" s="18" t="s">
        <v>64</v>
      </c>
      <c r="F21" s="18" t="s">
        <v>184</v>
      </c>
      <c r="G21" s="18" t="s">
        <v>582</v>
      </c>
    </row>
    <row r="22" customFormat="false" ht="15" hidden="false" customHeight="false" outlineLevel="0" collapsed="false">
      <c r="A22" s="17" t="s">
        <v>207</v>
      </c>
      <c r="B22" s="18" t="s">
        <v>583</v>
      </c>
      <c r="C22" s="18" t="s">
        <v>374</v>
      </c>
      <c r="D22" s="18" t="s">
        <v>541</v>
      </c>
      <c r="E22" s="18" t="s">
        <v>64</v>
      </c>
      <c r="F22" s="18" t="s">
        <v>584</v>
      </c>
      <c r="G22" s="18" t="s">
        <v>585</v>
      </c>
    </row>
    <row r="23" customFormat="false" ht="15" hidden="false" customHeight="false" outlineLevel="0" collapsed="false">
      <c r="A23" s="17" t="s">
        <v>586</v>
      </c>
      <c r="B23" s="18" t="s">
        <v>587</v>
      </c>
      <c r="C23" s="18" t="s">
        <v>374</v>
      </c>
      <c r="D23" s="18" t="s">
        <v>528</v>
      </c>
      <c r="E23" s="18" t="s">
        <v>588</v>
      </c>
      <c r="F23" s="18" t="s">
        <v>589</v>
      </c>
      <c r="G23" s="18" t="s">
        <v>590</v>
      </c>
    </row>
    <row r="24" customFormat="false" ht="15" hidden="false" customHeight="false" outlineLevel="0" collapsed="false">
      <c r="A24" s="17" t="s">
        <v>216</v>
      </c>
      <c r="B24" s="18" t="s">
        <v>591</v>
      </c>
      <c r="C24" s="18" t="s">
        <v>374</v>
      </c>
      <c r="D24" s="18" t="s">
        <v>569</v>
      </c>
      <c r="E24" s="18" t="s">
        <v>64</v>
      </c>
      <c r="F24" s="18" t="s">
        <v>213</v>
      </c>
      <c r="G24" s="18" t="s">
        <v>592</v>
      </c>
    </row>
    <row r="25" customFormat="false" ht="15" hidden="false" customHeight="false" outlineLevel="0" collapsed="false">
      <c r="A25" s="17" t="s">
        <v>593</v>
      </c>
      <c r="B25" s="18" t="s">
        <v>594</v>
      </c>
      <c r="C25" s="18" t="s">
        <v>374</v>
      </c>
      <c r="D25" s="18" t="s">
        <v>537</v>
      </c>
      <c r="E25" s="18" t="s">
        <v>64</v>
      </c>
      <c r="F25" s="18" t="s">
        <v>595</v>
      </c>
      <c r="G25" s="18" t="s">
        <v>596</v>
      </c>
    </row>
    <row r="26" customFormat="false" ht="15" hidden="false" customHeight="false" outlineLevel="0" collapsed="false">
      <c r="A26" s="17" t="s">
        <v>597</v>
      </c>
      <c r="B26" s="18" t="s">
        <v>598</v>
      </c>
      <c r="C26" s="18" t="s">
        <v>374</v>
      </c>
      <c r="D26" s="18" t="s">
        <v>552</v>
      </c>
      <c r="E26" s="18" t="s">
        <v>518</v>
      </c>
      <c r="F26" s="18" t="s">
        <v>599</v>
      </c>
      <c r="G26" s="18" t="s">
        <v>600</v>
      </c>
    </row>
    <row r="27" customFormat="false" ht="15" hidden="false" customHeight="false" outlineLevel="0" collapsed="false">
      <c r="A27" s="17" t="s">
        <v>601</v>
      </c>
      <c r="B27" s="18" t="s">
        <v>602</v>
      </c>
      <c r="C27" s="18" t="s">
        <v>374</v>
      </c>
      <c r="D27" s="18" t="s">
        <v>541</v>
      </c>
      <c r="E27" s="18" t="s">
        <v>64</v>
      </c>
      <c r="F27" s="18" t="s">
        <v>603</v>
      </c>
      <c r="G27" s="18" t="s">
        <v>604</v>
      </c>
    </row>
    <row r="28" customFormat="false" ht="23.85" hidden="false" customHeight="false" outlineLevel="0" collapsed="false">
      <c r="A28" s="17" t="s">
        <v>605</v>
      </c>
      <c r="B28" s="18" t="s">
        <v>606</v>
      </c>
      <c r="C28" s="18" t="s">
        <v>374</v>
      </c>
      <c r="D28" s="18" t="s">
        <v>541</v>
      </c>
      <c r="E28" s="18" t="s">
        <v>64</v>
      </c>
      <c r="F28" s="18" t="s">
        <v>607</v>
      </c>
      <c r="G28" s="18" t="s">
        <v>608</v>
      </c>
    </row>
    <row r="29" customFormat="false" ht="15" hidden="false" customHeight="false" outlineLevel="0" collapsed="false">
      <c r="A29" s="17" t="s">
        <v>241</v>
      </c>
      <c r="B29" s="18" t="s">
        <v>609</v>
      </c>
      <c r="C29" s="18" t="s">
        <v>374</v>
      </c>
      <c r="D29" s="18" t="s">
        <v>541</v>
      </c>
      <c r="E29" s="18" t="s">
        <v>64</v>
      </c>
      <c r="F29" s="18" t="s">
        <v>610</v>
      </c>
      <c r="G29" s="18" t="s">
        <v>611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2"/>
    <col collapsed="false" customWidth="true" hidden="false" outlineLevel="0" max="3" min="3" style="1" width="58"/>
    <col collapsed="false" customWidth="true" hidden="false" outlineLevel="0" max="4" min="4" style="1" width="34"/>
    <col collapsed="false" customWidth="true" hidden="false" outlineLevel="0" max="5" min="5" style="1" width="22"/>
    <col collapsed="false" customWidth="true" hidden="false" outlineLevel="0" max="6" min="6" style="1" width="18"/>
    <col collapsed="false" customWidth="true" hidden="false" outlineLevel="0" max="7" min="7" style="1" width="24"/>
    <col collapsed="false" customWidth="true" hidden="false" outlineLevel="0" max="10" min="8" style="1" width="22"/>
    <col collapsed="false" customWidth="true" hidden="false" outlineLevel="0" max="11" min="11" style="1" width="14"/>
  </cols>
  <sheetData>
    <row r="1" customFormat="false" ht="17.25" hidden="false" customHeight="true" outlineLevel="0" collapsed="false">
      <c r="A1" s="7" t="s">
        <v>77</v>
      </c>
    </row>
    <row r="2" customFormat="false" ht="15" hidden="false" customHeight="true" outlineLevel="0" collapsed="false">
      <c r="A2" s="8" t="s">
        <v>612</v>
      </c>
    </row>
    <row r="4" customFormat="false" ht="15" hidden="false" customHeight="true" outlineLevel="0" collapsed="false">
      <c r="A4" s="9" t="s">
        <v>613</v>
      </c>
      <c r="B4" s="9" t="s">
        <v>614</v>
      </c>
      <c r="C4" s="9" t="s">
        <v>615</v>
      </c>
      <c r="D4" s="9" t="s">
        <v>616</v>
      </c>
      <c r="E4" s="9" t="s">
        <v>617</v>
      </c>
      <c r="F4" s="9" t="s">
        <v>34</v>
      </c>
      <c r="G4" s="9" t="s">
        <v>618</v>
      </c>
      <c r="H4" s="9" t="s">
        <v>619</v>
      </c>
      <c r="I4" s="9" t="s">
        <v>620</v>
      </c>
      <c r="J4" s="9" t="s">
        <v>621</v>
      </c>
      <c r="K4" s="9" t="s">
        <v>15</v>
      </c>
    </row>
    <row r="5" customFormat="false" ht="34.5" hidden="false" customHeight="true" outlineLevel="0" collapsed="false">
      <c r="A5" s="17" t="s">
        <v>622</v>
      </c>
      <c r="B5" s="17" t="s">
        <v>623</v>
      </c>
      <c r="C5" s="18" t="s">
        <v>624</v>
      </c>
      <c r="D5" s="18" t="s">
        <v>625</v>
      </c>
      <c r="E5" s="18" t="s">
        <v>626</v>
      </c>
      <c r="F5" s="18" t="s">
        <v>549</v>
      </c>
      <c r="G5" s="18" t="s">
        <v>627</v>
      </c>
      <c r="H5" s="18" t="s">
        <v>628</v>
      </c>
      <c r="I5" s="18" t="s">
        <v>629</v>
      </c>
      <c r="J5" s="18"/>
      <c r="K5" s="18" t="s">
        <v>630</v>
      </c>
    </row>
    <row r="6" customFormat="false" ht="23.25" hidden="false" customHeight="true" outlineLevel="0" collapsed="false">
      <c r="A6" s="17" t="s">
        <v>166</v>
      </c>
      <c r="B6" s="17" t="s">
        <v>631</v>
      </c>
      <c r="C6" s="18" t="s">
        <v>632</v>
      </c>
      <c r="D6" s="18" t="s">
        <v>633</v>
      </c>
      <c r="E6" s="18" t="s">
        <v>634</v>
      </c>
      <c r="F6" s="18" t="s">
        <v>635</v>
      </c>
      <c r="G6" s="18" t="s">
        <v>627</v>
      </c>
      <c r="H6" s="18" t="s">
        <v>628</v>
      </c>
      <c r="I6" s="18" t="s">
        <v>636</v>
      </c>
      <c r="J6" s="18"/>
      <c r="K6" s="18" t="s">
        <v>630</v>
      </c>
    </row>
    <row r="7" customFormat="false" ht="34.5" hidden="false" customHeight="true" outlineLevel="0" collapsed="false">
      <c r="A7" s="17" t="s">
        <v>88</v>
      </c>
      <c r="B7" s="17" t="s">
        <v>637</v>
      </c>
      <c r="C7" s="18" t="s">
        <v>638</v>
      </c>
      <c r="D7" s="18" t="s">
        <v>639</v>
      </c>
      <c r="E7" s="18" t="s">
        <v>640</v>
      </c>
      <c r="F7" s="18" t="s">
        <v>641</v>
      </c>
      <c r="G7" s="18" t="s">
        <v>627</v>
      </c>
      <c r="H7" s="18" t="s">
        <v>628</v>
      </c>
      <c r="I7" s="18" t="s">
        <v>642</v>
      </c>
      <c r="J7" s="18"/>
      <c r="K7" s="18" t="s">
        <v>630</v>
      </c>
    </row>
    <row r="8" customFormat="false" ht="34.5" hidden="false" customHeight="true" outlineLevel="0" collapsed="false">
      <c r="A8" s="17" t="s">
        <v>99</v>
      </c>
      <c r="B8" s="17" t="s">
        <v>643</v>
      </c>
      <c r="C8" s="18" t="s">
        <v>644</v>
      </c>
      <c r="D8" s="18" t="s">
        <v>645</v>
      </c>
      <c r="E8" s="18" t="s">
        <v>640</v>
      </c>
      <c r="F8" s="18" t="s">
        <v>98</v>
      </c>
      <c r="G8" s="18" t="s">
        <v>627</v>
      </c>
      <c r="H8" s="18" t="s">
        <v>628</v>
      </c>
      <c r="I8" s="18" t="s">
        <v>646</v>
      </c>
      <c r="J8" s="18"/>
      <c r="K8" s="18" t="s">
        <v>630</v>
      </c>
    </row>
    <row r="9" customFormat="false" ht="23.25" hidden="false" customHeight="true" outlineLevel="0" collapsed="false">
      <c r="A9" s="17" t="s">
        <v>647</v>
      </c>
      <c r="B9" s="17" t="s">
        <v>648</v>
      </c>
      <c r="C9" s="18" t="s">
        <v>649</v>
      </c>
      <c r="D9" s="18" t="s">
        <v>650</v>
      </c>
      <c r="E9" s="18" t="s">
        <v>651</v>
      </c>
      <c r="F9" s="18" t="s">
        <v>652</v>
      </c>
      <c r="G9" s="18" t="s">
        <v>627</v>
      </c>
      <c r="H9" s="18" t="s">
        <v>653</v>
      </c>
      <c r="I9" s="18" t="s">
        <v>654</v>
      </c>
      <c r="J9" s="18"/>
      <c r="K9" s="18" t="s">
        <v>630</v>
      </c>
    </row>
    <row r="10" customFormat="false" ht="23.25" hidden="false" customHeight="true" outlineLevel="0" collapsed="false">
      <c r="A10" s="17" t="s">
        <v>655</v>
      </c>
      <c r="B10" s="17" t="s">
        <v>656</v>
      </c>
      <c r="C10" s="18" t="s">
        <v>657</v>
      </c>
      <c r="D10" s="18" t="s">
        <v>658</v>
      </c>
      <c r="E10" s="18" t="s">
        <v>659</v>
      </c>
      <c r="F10" s="18" t="s">
        <v>660</v>
      </c>
      <c r="G10" s="18" t="s">
        <v>661</v>
      </c>
      <c r="H10" s="18" t="s">
        <v>662</v>
      </c>
      <c r="I10" s="18" t="s">
        <v>663</v>
      </c>
      <c r="J10" s="18"/>
      <c r="K10" s="18" t="s">
        <v>664</v>
      </c>
    </row>
    <row r="11" customFormat="false" ht="23.25" hidden="false" customHeight="true" outlineLevel="0" collapsed="false">
      <c r="A11" s="17" t="s">
        <v>248</v>
      </c>
      <c r="B11" s="17" t="s">
        <v>665</v>
      </c>
      <c r="C11" s="18" t="s">
        <v>666</v>
      </c>
      <c r="D11" s="18" t="s">
        <v>667</v>
      </c>
      <c r="E11" s="18" t="s">
        <v>668</v>
      </c>
      <c r="F11" s="18" t="s">
        <v>669</v>
      </c>
      <c r="G11" s="18" t="s">
        <v>627</v>
      </c>
      <c r="H11" s="18" t="s">
        <v>628</v>
      </c>
      <c r="I11" s="18" t="s">
        <v>670</v>
      </c>
      <c r="J11" s="18"/>
      <c r="K11" s="18" t="s">
        <v>630</v>
      </c>
    </row>
    <row r="12" customFormat="false" ht="34.5" hidden="false" customHeight="true" outlineLevel="0" collapsed="false">
      <c r="A12" s="17" t="s">
        <v>671</v>
      </c>
      <c r="B12" s="17" t="s">
        <v>672</v>
      </c>
      <c r="C12" s="18" t="s">
        <v>673</v>
      </c>
      <c r="D12" s="18" t="s">
        <v>674</v>
      </c>
      <c r="E12" s="18" t="s">
        <v>675</v>
      </c>
      <c r="F12" s="18" t="s">
        <v>676</v>
      </c>
      <c r="G12" s="18" t="s">
        <v>627</v>
      </c>
      <c r="H12" s="18" t="s">
        <v>628</v>
      </c>
      <c r="I12" s="18" t="s">
        <v>677</v>
      </c>
      <c r="J12" s="18"/>
      <c r="K12" s="18" t="s">
        <v>630</v>
      </c>
    </row>
    <row r="13" customFormat="false" ht="34.5" hidden="false" customHeight="true" outlineLevel="0" collapsed="false">
      <c r="A13" s="17" t="s">
        <v>678</v>
      </c>
      <c r="B13" s="17" t="s">
        <v>679</v>
      </c>
      <c r="C13" s="18" t="s">
        <v>680</v>
      </c>
      <c r="D13" s="18" t="s">
        <v>681</v>
      </c>
      <c r="E13" s="18" t="s">
        <v>682</v>
      </c>
      <c r="F13" s="18" t="s">
        <v>683</v>
      </c>
      <c r="G13" s="18" t="s">
        <v>627</v>
      </c>
      <c r="H13" s="18" t="s">
        <v>684</v>
      </c>
      <c r="I13" s="18" t="s">
        <v>685</v>
      </c>
      <c r="J13" s="18"/>
      <c r="K13" s="18" t="s">
        <v>630</v>
      </c>
    </row>
    <row r="14" customFormat="false" ht="23.25" hidden="false" customHeight="true" outlineLevel="0" collapsed="false">
      <c r="A14" s="17" t="s">
        <v>258</v>
      </c>
      <c r="B14" s="17" t="s">
        <v>686</v>
      </c>
      <c r="C14" s="18" t="s">
        <v>687</v>
      </c>
      <c r="D14" s="18" t="s">
        <v>688</v>
      </c>
      <c r="E14" s="18" t="s">
        <v>689</v>
      </c>
      <c r="F14" s="18" t="s">
        <v>257</v>
      </c>
      <c r="G14" s="18" t="s">
        <v>627</v>
      </c>
      <c r="H14" s="18" t="s">
        <v>628</v>
      </c>
      <c r="I14" s="18" t="s">
        <v>690</v>
      </c>
      <c r="J14" s="18"/>
      <c r="K14" s="18" t="s">
        <v>630</v>
      </c>
    </row>
    <row r="15" customFormat="false" ht="34.5" hidden="false" customHeight="true" outlineLevel="0" collapsed="false">
      <c r="A15" s="17" t="s">
        <v>277</v>
      </c>
      <c r="B15" s="17" t="s">
        <v>691</v>
      </c>
      <c r="C15" s="18" t="s">
        <v>692</v>
      </c>
      <c r="D15" s="18" t="s">
        <v>693</v>
      </c>
      <c r="E15" s="18" t="s">
        <v>694</v>
      </c>
      <c r="F15" s="18" t="s">
        <v>695</v>
      </c>
      <c r="G15" s="18" t="s">
        <v>627</v>
      </c>
      <c r="H15" s="18" t="s">
        <v>696</v>
      </c>
      <c r="I15" s="18" t="s">
        <v>697</v>
      </c>
      <c r="J15" s="18"/>
      <c r="K15" s="18" t="s">
        <v>630</v>
      </c>
    </row>
    <row r="16" customFormat="false" ht="34.5" hidden="false" customHeight="true" outlineLevel="0" collapsed="false">
      <c r="A16" s="17" t="s">
        <v>214</v>
      </c>
      <c r="B16" s="17" t="s">
        <v>698</v>
      </c>
      <c r="C16" s="18" t="s">
        <v>699</v>
      </c>
      <c r="D16" s="18" t="s">
        <v>700</v>
      </c>
      <c r="E16" s="18" t="s">
        <v>701</v>
      </c>
      <c r="F16" s="18" t="s">
        <v>702</v>
      </c>
      <c r="G16" s="18" t="s">
        <v>703</v>
      </c>
      <c r="H16" s="18" t="s">
        <v>704</v>
      </c>
      <c r="I16" s="18" t="s">
        <v>705</v>
      </c>
      <c r="J16" s="18"/>
      <c r="K16" s="18" t="s">
        <v>630</v>
      </c>
    </row>
    <row r="17" customFormat="false" ht="23.25" hidden="false" customHeight="true" outlineLevel="0" collapsed="false">
      <c r="A17" s="17" t="s">
        <v>706</v>
      </c>
      <c r="B17" s="17" t="s">
        <v>707</v>
      </c>
      <c r="C17" s="18" t="s">
        <v>708</v>
      </c>
      <c r="D17" s="18" t="s">
        <v>709</v>
      </c>
      <c r="E17" s="18" t="s">
        <v>710</v>
      </c>
      <c r="F17" s="18" t="s">
        <v>711</v>
      </c>
      <c r="G17" s="18" t="s">
        <v>627</v>
      </c>
      <c r="H17" s="18" t="s">
        <v>712</v>
      </c>
      <c r="I17" s="18" t="s">
        <v>713</v>
      </c>
      <c r="J17" s="18"/>
      <c r="K17" s="18" t="s">
        <v>630</v>
      </c>
    </row>
    <row r="18" customFormat="false" ht="34.5" hidden="false" customHeight="true" outlineLevel="0" collapsed="false">
      <c r="A18" s="17" t="s">
        <v>268</v>
      </c>
      <c r="B18" s="17" t="s">
        <v>714</v>
      </c>
      <c r="C18" s="18" t="s">
        <v>715</v>
      </c>
      <c r="D18" s="18" t="s">
        <v>716</v>
      </c>
      <c r="E18" s="18" t="s">
        <v>717</v>
      </c>
      <c r="F18" s="18" t="s">
        <v>718</v>
      </c>
      <c r="G18" s="18" t="s">
        <v>719</v>
      </c>
      <c r="H18" s="18" t="s">
        <v>720</v>
      </c>
      <c r="I18" s="18" t="s">
        <v>721</v>
      </c>
      <c r="J18" s="18" t="s">
        <v>722</v>
      </c>
      <c r="K18" s="18" t="s">
        <v>630</v>
      </c>
    </row>
    <row r="19" customFormat="false" ht="34.5" hidden="false" customHeight="true" outlineLevel="0" collapsed="false">
      <c r="A19" s="17" t="s">
        <v>205</v>
      </c>
      <c r="B19" s="17" t="s">
        <v>50</v>
      </c>
      <c r="C19" s="18" t="s">
        <v>723</v>
      </c>
      <c r="D19" s="18" t="s">
        <v>724</v>
      </c>
      <c r="E19" s="18" t="s">
        <v>725</v>
      </c>
      <c r="F19" s="18" t="s">
        <v>726</v>
      </c>
      <c r="G19" s="18" t="s">
        <v>727</v>
      </c>
      <c r="H19" s="18" t="s">
        <v>728</v>
      </c>
      <c r="I19" s="18" t="s">
        <v>729</v>
      </c>
      <c r="J19" s="18"/>
      <c r="K19" s="18" t="s">
        <v>630</v>
      </c>
    </row>
    <row r="20" customFormat="false" ht="34.5" hidden="false" customHeight="true" outlineLevel="0" collapsed="false">
      <c r="A20" s="17" t="s">
        <v>195</v>
      </c>
      <c r="B20" s="17" t="s">
        <v>730</v>
      </c>
      <c r="C20" s="18" t="s">
        <v>731</v>
      </c>
      <c r="D20" s="18" t="s">
        <v>732</v>
      </c>
      <c r="E20" s="18" t="s">
        <v>733</v>
      </c>
      <c r="F20" s="18" t="s">
        <v>734</v>
      </c>
      <c r="G20" s="18" t="s">
        <v>735</v>
      </c>
      <c r="H20" s="18" t="s">
        <v>736</v>
      </c>
      <c r="I20" s="18" t="s">
        <v>737</v>
      </c>
      <c r="J20" s="18"/>
      <c r="K20" s="18" t="s">
        <v>738</v>
      </c>
    </row>
    <row r="21" customFormat="false" ht="23.25" hidden="false" customHeight="true" outlineLevel="0" collapsed="false">
      <c r="A21" s="17" t="s">
        <v>238</v>
      </c>
      <c r="B21" s="17" t="s">
        <v>739</v>
      </c>
      <c r="C21" s="18" t="s">
        <v>740</v>
      </c>
      <c r="D21" s="18" t="s">
        <v>741</v>
      </c>
      <c r="E21" s="18" t="s">
        <v>742</v>
      </c>
      <c r="F21" s="18" t="s">
        <v>743</v>
      </c>
      <c r="G21" s="18" t="s">
        <v>744</v>
      </c>
      <c r="H21" s="18" t="s">
        <v>745</v>
      </c>
      <c r="I21" s="18" t="s">
        <v>746</v>
      </c>
      <c r="J21" s="18"/>
      <c r="K21" s="18" t="s">
        <v>630</v>
      </c>
    </row>
    <row r="22" customFormat="false" ht="34.5" hidden="false" customHeight="true" outlineLevel="0" collapsed="false">
      <c r="A22" s="17" t="s">
        <v>146</v>
      </c>
      <c r="B22" s="17" t="s">
        <v>747</v>
      </c>
      <c r="C22" s="18" t="s">
        <v>748</v>
      </c>
      <c r="D22" s="18" t="s">
        <v>749</v>
      </c>
      <c r="E22" s="18" t="s">
        <v>750</v>
      </c>
      <c r="F22" s="18" t="s">
        <v>751</v>
      </c>
      <c r="G22" s="18" t="s">
        <v>627</v>
      </c>
      <c r="H22" s="18" t="s">
        <v>696</v>
      </c>
      <c r="I22" s="18" t="s">
        <v>752</v>
      </c>
      <c r="J22" s="18" t="s">
        <v>753</v>
      </c>
      <c r="K22" s="18" t="s">
        <v>630</v>
      </c>
    </row>
    <row r="23" customFormat="false" ht="23.25" hidden="false" customHeight="true" outlineLevel="0" collapsed="false">
      <c r="A23" s="17" t="s">
        <v>754</v>
      </c>
      <c r="B23" s="17" t="s">
        <v>755</v>
      </c>
      <c r="C23" s="18" t="s">
        <v>756</v>
      </c>
      <c r="D23" s="18" t="s">
        <v>757</v>
      </c>
      <c r="E23" s="18" t="s">
        <v>758</v>
      </c>
      <c r="F23" s="18" t="s">
        <v>759</v>
      </c>
      <c r="G23" s="18" t="s">
        <v>627</v>
      </c>
      <c r="H23" s="18" t="s">
        <v>628</v>
      </c>
      <c r="I23" s="18" t="s">
        <v>760</v>
      </c>
      <c r="J23" s="18" t="s">
        <v>761</v>
      </c>
      <c r="K23" s="18" t="s">
        <v>630</v>
      </c>
    </row>
    <row r="24" customFormat="false" ht="23.25" hidden="false" customHeight="true" outlineLevel="0" collapsed="false">
      <c r="A24" s="17" t="s">
        <v>136</v>
      </c>
      <c r="B24" s="17" t="s">
        <v>56</v>
      </c>
      <c r="C24" s="18" t="s">
        <v>762</v>
      </c>
      <c r="D24" s="18" t="s">
        <v>763</v>
      </c>
      <c r="E24" s="18" t="s">
        <v>764</v>
      </c>
      <c r="F24" s="18" t="s">
        <v>765</v>
      </c>
      <c r="G24" s="18" t="s">
        <v>766</v>
      </c>
      <c r="H24" s="18" t="s">
        <v>696</v>
      </c>
      <c r="I24" s="18" t="s">
        <v>767</v>
      </c>
      <c r="J24" s="18" t="s">
        <v>768</v>
      </c>
      <c r="K24" s="18" t="s">
        <v>630</v>
      </c>
    </row>
    <row r="25" customFormat="false" ht="23.25" hidden="false" customHeight="true" outlineLevel="0" collapsed="false">
      <c r="A25" s="17" t="s">
        <v>769</v>
      </c>
      <c r="B25" s="17" t="s">
        <v>770</v>
      </c>
      <c r="C25" s="18" t="s">
        <v>771</v>
      </c>
      <c r="D25" s="18" t="s">
        <v>772</v>
      </c>
      <c r="E25" s="18" t="s">
        <v>773</v>
      </c>
      <c r="F25" s="18" t="s">
        <v>774</v>
      </c>
      <c r="G25" s="18" t="s">
        <v>627</v>
      </c>
      <c r="H25" s="18" t="s">
        <v>775</v>
      </c>
      <c r="I25" s="18" t="s">
        <v>760</v>
      </c>
      <c r="J25" s="18"/>
      <c r="K25" s="18" t="s">
        <v>630</v>
      </c>
    </row>
    <row r="26" customFormat="false" ht="34.5" hidden="false" customHeight="true" outlineLevel="0" collapsed="false">
      <c r="A26" s="17" t="s">
        <v>776</v>
      </c>
      <c r="B26" s="17" t="s">
        <v>777</v>
      </c>
      <c r="C26" s="18" t="s">
        <v>778</v>
      </c>
      <c r="D26" s="18" t="s">
        <v>779</v>
      </c>
      <c r="E26" s="18" t="s">
        <v>780</v>
      </c>
      <c r="F26" s="18" t="s">
        <v>781</v>
      </c>
      <c r="G26" s="18" t="s">
        <v>627</v>
      </c>
      <c r="H26" s="18" t="s">
        <v>696</v>
      </c>
      <c r="I26" s="18" t="s">
        <v>782</v>
      </c>
      <c r="J26" s="18"/>
      <c r="K26" s="18" t="s">
        <v>630</v>
      </c>
    </row>
    <row r="27" customFormat="false" ht="34.5" hidden="false" customHeight="true" outlineLevel="0" collapsed="false">
      <c r="A27" s="17" t="s">
        <v>156</v>
      </c>
      <c r="B27" s="17" t="s">
        <v>783</v>
      </c>
      <c r="C27" s="18" t="s">
        <v>784</v>
      </c>
      <c r="D27" s="18" t="s">
        <v>785</v>
      </c>
      <c r="E27" s="18" t="s">
        <v>786</v>
      </c>
      <c r="F27" s="18" t="s">
        <v>787</v>
      </c>
      <c r="G27" s="18" t="s">
        <v>788</v>
      </c>
      <c r="H27" s="18" t="s">
        <v>789</v>
      </c>
      <c r="I27" s="18" t="s">
        <v>790</v>
      </c>
      <c r="J27" s="18" t="s">
        <v>791</v>
      </c>
      <c r="K27" s="18" t="s">
        <v>738</v>
      </c>
    </row>
    <row r="28" customFormat="false" ht="34.5" hidden="false" customHeight="true" outlineLevel="0" collapsed="false">
      <c r="A28" s="17" t="s">
        <v>175</v>
      </c>
      <c r="B28" s="17" t="s">
        <v>792</v>
      </c>
      <c r="C28" s="18" t="s">
        <v>793</v>
      </c>
      <c r="D28" s="18" t="s">
        <v>794</v>
      </c>
      <c r="E28" s="18" t="s">
        <v>795</v>
      </c>
      <c r="F28" s="18" t="s">
        <v>796</v>
      </c>
      <c r="G28" s="18" t="s">
        <v>797</v>
      </c>
      <c r="H28" s="18" t="s">
        <v>798</v>
      </c>
      <c r="I28" s="18" t="s">
        <v>799</v>
      </c>
      <c r="J28" s="18"/>
      <c r="K28" s="18" t="s">
        <v>738</v>
      </c>
    </row>
    <row r="29" customFormat="false" ht="23.25" hidden="false" customHeight="true" outlineLevel="0" collapsed="false">
      <c r="A29" s="17" t="s">
        <v>126</v>
      </c>
      <c r="B29" s="17" t="s">
        <v>54</v>
      </c>
      <c r="C29" s="18" t="s">
        <v>800</v>
      </c>
      <c r="D29" s="18" t="s">
        <v>801</v>
      </c>
      <c r="E29" s="18" t="s">
        <v>802</v>
      </c>
      <c r="F29" s="18" t="s">
        <v>803</v>
      </c>
      <c r="G29" s="18" t="s">
        <v>804</v>
      </c>
      <c r="H29" s="18" t="s">
        <v>805</v>
      </c>
      <c r="I29" s="18" t="s">
        <v>806</v>
      </c>
      <c r="J29" s="18"/>
      <c r="K29" s="18" t="s">
        <v>664</v>
      </c>
    </row>
    <row r="30" customFormat="false" ht="23.25" hidden="false" customHeight="true" outlineLevel="0" collapsed="false">
      <c r="A30" s="17" t="s">
        <v>807</v>
      </c>
      <c r="B30" s="17" t="s">
        <v>808</v>
      </c>
      <c r="C30" s="18" t="s">
        <v>809</v>
      </c>
      <c r="D30" s="18" t="s">
        <v>810</v>
      </c>
      <c r="E30" s="18" t="s">
        <v>811</v>
      </c>
      <c r="F30" s="18" t="s">
        <v>812</v>
      </c>
      <c r="G30" s="18" t="s">
        <v>627</v>
      </c>
      <c r="H30" s="18" t="s">
        <v>628</v>
      </c>
      <c r="I30" s="18" t="s">
        <v>813</v>
      </c>
      <c r="J30" s="18"/>
      <c r="K30" s="18" t="s">
        <v>630</v>
      </c>
    </row>
    <row r="31" customFormat="false" ht="23.25" hidden="false" customHeight="true" outlineLevel="0" collapsed="false">
      <c r="A31" s="17" t="s">
        <v>814</v>
      </c>
      <c r="B31" s="17" t="s">
        <v>815</v>
      </c>
      <c r="C31" s="18" t="s">
        <v>816</v>
      </c>
      <c r="D31" s="18" t="s">
        <v>817</v>
      </c>
      <c r="E31" s="18" t="s">
        <v>818</v>
      </c>
      <c r="F31" s="18" t="s">
        <v>819</v>
      </c>
      <c r="G31" s="18" t="s">
        <v>820</v>
      </c>
      <c r="H31" s="18" t="s">
        <v>821</v>
      </c>
      <c r="I31" s="18" t="s">
        <v>822</v>
      </c>
      <c r="J31" s="18"/>
      <c r="K31" s="18" t="s">
        <v>630</v>
      </c>
    </row>
    <row r="32" customFormat="false" ht="34.5" hidden="false" customHeight="true" outlineLevel="0" collapsed="false">
      <c r="A32" s="17" t="s">
        <v>823</v>
      </c>
      <c r="B32" s="17" t="s">
        <v>60</v>
      </c>
      <c r="C32" s="18" t="s">
        <v>824</v>
      </c>
      <c r="D32" s="18" t="s">
        <v>825</v>
      </c>
      <c r="E32" s="18" t="s">
        <v>826</v>
      </c>
      <c r="F32" s="18" t="s">
        <v>827</v>
      </c>
      <c r="G32" s="18" t="s">
        <v>828</v>
      </c>
      <c r="H32" s="18" t="s">
        <v>829</v>
      </c>
      <c r="I32" s="18" t="s">
        <v>830</v>
      </c>
      <c r="J32" s="18" t="s">
        <v>831</v>
      </c>
      <c r="K32" s="18" t="s">
        <v>630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4"/>
    <col collapsed="false" customWidth="true" hidden="false" outlineLevel="0" max="3" min="3" style="1" width="56"/>
    <col collapsed="false" customWidth="true" hidden="false" outlineLevel="0" max="4" min="4" style="1" width="18"/>
    <col collapsed="false" customWidth="true" hidden="false" outlineLevel="0" max="5" min="5" style="1" width="11"/>
    <col collapsed="false" customWidth="true" hidden="false" outlineLevel="0" max="6" min="6" style="1" width="34"/>
    <col collapsed="false" customWidth="true" hidden="false" outlineLevel="0" max="7" min="7" style="1" width="40"/>
    <col collapsed="false" customWidth="true" hidden="false" outlineLevel="0" max="9" min="8" style="1" width="16"/>
    <col collapsed="false" customWidth="true" hidden="false" outlineLevel="0" max="10" min="10" style="1" width="30"/>
  </cols>
  <sheetData>
    <row r="1" customFormat="false" ht="17.25" hidden="false" customHeight="true" outlineLevel="0" collapsed="false">
      <c r="A1" s="7" t="s">
        <v>832</v>
      </c>
    </row>
    <row r="2" customFormat="false" ht="15" hidden="false" customHeight="true" outlineLevel="0" collapsed="false">
      <c r="B2" s="20" t="s">
        <v>833</v>
      </c>
      <c r="C2" s="21" t="s">
        <v>834</v>
      </c>
      <c r="D2" s="20" t="s">
        <v>835</v>
      </c>
      <c r="E2" s="21" t="s">
        <v>836</v>
      </c>
    </row>
    <row r="3" customFormat="false" ht="15" hidden="false" customHeight="true" outlineLevel="0" collapsed="false">
      <c r="B3" s="20" t="s">
        <v>837</v>
      </c>
      <c r="C3" s="21" t="s">
        <v>838</v>
      </c>
      <c r="D3" s="20" t="s">
        <v>839</v>
      </c>
      <c r="E3" s="21" t="s">
        <v>840</v>
      </c>
    </row>
    <row r="5" customFormat="false" ht="15" hidden="false" customHeight="true" outlineLevel="0" collapsed="false">
      <c r="A5" s="9" t="s">
        <v>841</v>
      </c>
      <c r="B5" s="9" t="s">
        <v>33</v>
      </c>
      <c r="C5" s="9" t="s">
        <v>842</v>
      </c>
      <c r="D5" s="9" t="s">
        <v>13</v>
      </c>
      <c r="E5" s="9" t="s">
        <v>843</v>
      </c>
      <c r="F5" s="9" t="s">
        <v>844</v>
      </c>
      <c r="G5" s="9" t="s">
        <v>845</v>
      </c>
      <c r="H5" s="9" t="s">
        <v>846</v>
      </c>
      <c r="I5" s="9" t="s">
        <v>19</v>
      </c>
      <c r="J5" s="9" t="s">
        <v>847</v>
      </c>
    </row>
    <row r="6" customFormat="false" ht="34.5" hidden="false" customHeight="true" outlineLevel="0" collapsed="false">
      <c r="A6" s="22" t="s">
        <v>848</v>
      </c>
      <c r="B6" s="22" t="s">
        <v>42</v>
      </c>
      <c r="C6" s="22" t="s">
        <v>849</v>
      </c>
      <c r="D6" s="22" t="s">
        <v>850</v>
      </c>
      <c r="E6" s="22" t="s">
        <v>248</v>
      </c>
      <c r="F6" s="22" t="s">
        <v>851</v>
      </c>
      <c r="G6" s="22" t="s">
        <v>852</v>
      </c>
      <c r="H6" s="22" t="s">
        <v>853</v>
      </c>
      <c r="I6" s="22" t="s">
        <v>35</v>
      </c>
      <c r="J6" s="22" t="s">
        <v>854</v>
      </c>
    </row>
    <row r="7" customFormat="false" ht="23.25" hidden="false" customHeight="true" outlineLevel="0" collapsed="false">
      <c r="A7" s="17" t="s">
        <v>855</v>
      </c>
      <c r="B7" s="17" t="s">
        <v>41</v>
      </c>
      <c r="C7" s="18" t="s">
        <v>856</v>
      </c>
      <c r="D7" s="18" t="s">
        <v>857</v>
      </c>
      <c r="E7" s="18" t="s">
        <v>814</v>
      </c>
      <c r="F7" s="18" t="s">
        <v>858</v>
      </c>
      <c r="G7" s="19"/>
      <c r="H7" s="19" t="s">
        <v>859</v>
      </c>
      <c r="I7" s="19"/>
      <c r="J7" s="19"/>
    </row>
    <row r="8" customFormat="false" ht="23.25" hidden="false" customHeight="true" outlineLevel="0" collapsed="false">
      <c r="A8" s="17" t="s">
        <v>860</v>
      </c>
      <c r="B8" s="17" t="s">
        <v>41</v>
      </c>
      <c r="C8" s="18" t="s">
        <v>861</v>
      </c>
      <c r="D8" s="18" t="s">
        <v>857</v>
      </c>
      <c r="E8" s="18" t="s">
        <v>214</v>
      </c>
      <c r="F8" s="18" t="s">
        <v>862</v>
      </c>
      <c r="G8" s="19"/>
      <c r="H8" s="19" t="s">
        <v>859</v>
      </c>
      <c r="I8" s="19"/>
      <c r="J8" s="19"/>
    </row>
    <row r="9" customFormat="false" ht="23.25" hidden="false" customHeight="true" outlineLevel="0" collapsed="false">
      <c r="A9" s="17" t="s">
        <v>863</v>
      </c>
      <c r="B9" s="17" t="s">
        <v>41</v>
      </c>
      <c r="C9" s="18" t="s">
        <v>864</v>
      </c>
      <c r="D9" s="18" t="s">
        <v>857</v>
      </c>
      <c r="E9" s="18" t="s">
        <v>814</v>
      </c>
      <c r="F9" s="18" t="s">
        <v>865</v>
      </c>
      <c r="G9" s="19" t="s">
        <v>866</v>
      </c>
      <c r="H9" s="19" t="s">
        <v>853</v>
      </c>
      <c r="I9" s="19" t="s">
        <v>36</v>
      </c>
      <c r="J9" s="19" t="s">
        <v>867</v>
      </c>
    </row>
    <row r="10" customFormat="false" ht="23.25" hidden="false" customHeight="true" outlineLevel="0" collapsed="false">
      <c r="A10" s="17" t="s">
        <v>868</v>
      </c>
      <c r="B10" s="17" t="s">
        <v>42</v>
      </c>
      <c r="C10" s="18" t="s">
        <v>869</v>
      </c>
      <c r="D10" s="18" t="s">
        <v>870</v>
      </c>
      <c r="E10" s="18" t="s">
        <v>248</v>
      </c>
      <c r="F10" s="18" t="s">
        <v>871</v>
      </c>
      <c r="G10" s="19" t="s">
        <v>872</v>
      </c>
      <c r="H10" s="19" t="s">
        <v>873</v>
      </c>
      <c r="I10" s="19" t="s">
        <v>35</v>
      </c>
      <c r="J10" s="19" t="s">
        <v>874</v>
      </c>
    </row>
    <row r="11" customFormat="false" ht="23.25" hidden="false" customHeight="true" outlineLevel="0" collapsed="false">
      <c r="A11" s="17" t="s">
        <v>247</v>
      </c>
      <c r="B11" s="17" t="s">
        <v>42</v>
      </c>
      <c r="C11" s="18" t="s">
        <v>875</v>
      </c>
      <c r="D11" s="18" t="s">
        <v>870</v>
      </c>
      <c r="E11" s="18" t="s">
        <v>248</v>
      </c>
      <c r="F11" s="18" t="s">
        <v>876</v>
      </c>
      <c r="G11" s="19" t="s">
        <v>877</v>
      </c>
      <c r="H11" s="19" t="s">
        <v>853</v>
      </c>
      <c r="I11" s="19" t="s">
        <v>36</v>
      </c>
      <c r="J11" s="19" t="s">
        <v>878</v>
      </c>
    </row>
    <row r="12" customFormat="false" ht="23.25" hidden="false" customHeight="true" outlineLevel="0" collapsed="false">
      <c r="A12" s="17" t="s">
        <v>879</v>
      </c>
      <c r="B12" s="17" t="s">
        <v>42</v>
      </c>
      <c r="C12" s="18" t="s">
        <v>880</v>
      </c>
      <c r="D12" s="18" t="s">
        <v>870</v>
      </c>
      <c r="E12" s="18" t="s">
        <v>248</v>
      </c>
      <c r="F12" s="18" t="s">
        <v>881</v>
      </c>
      <c r="G12" s="19" t="s">
        <v>882</v>
      </c>
      <c r="H12" s="19" t="s">
        <v>873</v>
      </c>
      <c r="I12" s="19" t="s">
        <v>35</v>
      </c>
      <c r="J12" s="19" t="s">
        <v>874</v>
      </c>
    </row>
    <row r="13" customFormat="false" ht="23.25" hidden="false" customHeight="true" outlineLevel="0" collapsed="false">
      <c r="A13" s="17" t="s">
        <v>883</v>
      </c>
      <c r="B13" s="17" t="s">
        <v>42</v>
      </c>
      <c r="C13" s="18" t="s">
        <v>884</v>
      </c>
      <c r="D13" s="18" t="s">
        <v>870</v>
      </c>
      <c r="E13" s="18" t="s">
        <v>248</v>
      </c>
      <c r="F13" s="18" t="s">
        <v>885</v>
      </c>
      <c r="G13" s="19"/>
      <c r="H13" s="19" t="s">
        <v>859</v>
      </c>
      <c r="I13" s="19"/>
      <c r="J13" s="19"/>
    </row>
    <row r="14" customFormat="false" ht="23.25" hidden="false" customHeight="true" outlineLevel="0" collapsed="false">
      <c r="A14" s="17" t="s">
        <v>886</v>
      </c>
      <c r="B14" s="17" t="s">
        <v>43</v>
      </c>
      <c r="C14" s="18" t="s">
        <v>887</v>
      </c>
      <c r="D14" s="18" t="s">
        <v>888</v>
      </c>
      <c r="E14" s="18" t="s">
        <v>671</v>
      </c>
      <c r="F14" s="18" t="s">
        <v>889</v>
      </c>
      <c r="G14" s="19"/>
      <c r="H14" s="19" t="s">
        <v>859</v>
      </c>
      <c r="I14" s="19"/>
      <c r="J14" s="19"/>
    </row>
    <row r="15" customFormat="false" ht="23.25" hidden="false" customHeight="true" outlineLevel="0" collapsed="false">
      <c r="A15" s="17" t="s">
        <v>574</v>
      </c>
      <c r="B15" s="17" t="s">
        <v>43</v>
      </c>
      <c r="C15" s="18" t="s">
        <v>890</v>
      </c>
      <c r="D15" s="18" t="s">
        <v>888</v>
      </c>
      <c r="E15" s="18" t="s">
        <v>671</v>
      </c>
      <c r="F15" s="18" t="s">
        <v>891</v>
      </c>
      <c r="G15" s="19" t="s">
        <v>892</v>
      </c>
      <c r="H15" s="19" t="s">
        <v>873</v>
      </c>
      <c r="I15" s="19" t="s">
        <v>35</v>
      </c>
      <c r="J15" s="19" t="s">
        <v>893</v>
      </c>
    </row>
    <row r="16" customFormat="false" ht="23.25" hidden="false" customHeight="true" outlineLevel="0" collapsed="false">
      <c r="A16" s="17" t="s">
        <v>894</v>
      </c>
      <c r="B16" s="17" t="s">
        <v>43</v>
      </c>
      <c r="C16" s="18" t="s">
        <v>895</v>
      </c>
      <c r="D16" s="18" t="s">
        <v>896</v>
      </c>
      <c r="E16" s="18" t="s">
        <v>671</v>
      </c>
      <c r="F16" s="18" t="s">
        <v>897</v>
      </c>
      <c r="G16" s="19"/>
      <c r="H16" s="19" t="s">
        <v>859</v>
      </c>
      <c r="I16" s="19"/>
      <c r="J16" s="19"/>
    </row>
    <row r="17" customFormat="false" ht="23.25" hidden="false" customHeight="true" outlineLevel="0" collapsed="false">
      <c r="A17" s="17" t="s">
        <v>898</v>
      </c>
      <c r="B17" s="17" t="s">
        <v>43</v>
      </c>
      <c r="C17" s="18" t="s">
        <v>899</v>
      </c>
      <c r="D17" s="18" t="s">
        <v>850</v>
      </c>
      <c r="E17" s="18" t="s">
        <v>671</v>
      </c>
      <c r="F17" s="18" t="s">
        <v>900</v>
      </c>
      <c r="G17" s="19"/>
      <c r="H17" s="19" t="s">
        <v>859</v>
      </c>
      <c r="I17" s="19"/>
      <c r="J17" s="19"/>
    </row>
    <row r="18" customFormat="false" ht="23.25" hidden="false" customHeight="true" outlineLevel="0" collapsed="false">
      <c r="A18" s="17" t="s">
        <v>901</v>
      </c>
      <c r="B18" s="17" t="s">
        <v>43</v>
      </c>
      <c r="C18" s="18" t="s">
        <v>902</v>
      </c>
      <c r="D18" s="18" t="s">
        <v>850</v>
      </c>
      <c r="E18" s="18" t="s">
        <v>671</v>
      </c>
      <c r="F18" s="18" t="s">
        <v>903</v>
      </c>
      <c r="G18" s="19" t="s">
        <v>904</v>
      </c>
      <c r="H18" s="19" t="s">
        <v>853</v>
      </c>
      <c r="I18" s="19" t="s">
        <v>36</v>
      </c>
      <c r="J18" s="19" t="s">
        <v>905</v>
      </c>
    </row>
    <row r="19" customFormat="false" ht="23.25" hidden="false" customHeight="true" outlineLevel="0" collapsed="false">
      <c r="A19" s="17" t="s">
        <v>546</v>
      </c>
      <c r="B19" s="17" t="s">
        <v>44</v>
      </c>
      <c r="C19" s="18" t="s">
        <v>906</v>
      </c>
      <c r="D19" s="18" t="s">
        <v>907</v>
      </c>
      <c r="E19" s="18" t="s">
        <v>678</v>
      </c>
      <c r="F19" s="18" t="s">
        <v>908</v>
      </c>
      <c r="G19" s="19" t="s">
        <v>909</v>
      </c>
      <c r="H19" s="19" t="s">
        <v>873</v>
      </c>
      <c r="I19" s="19" t="s">
        <v>35</v>
      </c>
      <c r="J19" s="19" t="s">
        <v>910</v>
      </c>
    </row>
    <row r="20" customFormat="false" ht="23.25" hidden="false" customHeight="true" outlineLevel="0" collapsed="false">
      <c r="A20" s="17" t="s">
        <v>911</v>
      </c>
      <c r="B20" s="17" t="s">
        <v>44</v>
      </c>
      <c r="C20" s="18" t="s">
        <v>912</v>
      </c>
      <c r="D20" s="18" t="s">
        <v>913</v>
      </c>
      <c r="E20" s="18" t="s">
        <v>678</v>
      </c>
      <c r="F20" s="18" t="s">
        <v>914</v>
      </c>
      <c r="G20" s="19" t="s">
        <v>915</v>
      </c>
      <c r="H20" s="19" t="s">
        <v>916</v>
      </c>
      <c r="I20" s="19" t="s">
        <v>37</v>
      </c>
      <c r="J20" s="19" t="s">
        <v>917</v>
      </c>
    </row>
    <row r="21" customFormat="false" ht="23.25" hidden="false" customHeight="true" outlineLevel="0" collapsed="false">
      <c r="A21" s="17" t="s">
        <v>918</v>
      </c>
      <c r="B21" s="17" t="s">
        <v>44</v>
      </c>
      <c r="C21" s="18" t="s">
        <v>919</v>
      </c>
      <c r="D21" s="18" t="s">
        <v>920</v>
      </c>
      <c r="E21" s="18" t="s">
        <v>146</v>
      </c>
      <c r="F21" s="18" t="s">
        <v>921</v>
      </c>
      <c r="G21" s="19" t="s">
        <v>922</v>
      </c>
      <c r="H21" s="19" t="s">
        <v>853</v>
      </c>
      <c r="I21" s="19" t="s">
        <v>36</v>
      </c>
      <c r="J21" s="19" t="s">
        <v>923</v>
      </c>
    </row>
    <row r="22" customFormat="false" ht="34.5" hidden="false" customHeight="true" outlineLevel="0" collapsed="false">
      <c r="A22" s="17" t="s">
        <v>924</v>
      </c>
      <c r="B22" s="17" t="s">
        <v>44</v>
      </c>
      <c r="C22" s="18" t="s">
        <v>925</v>
      </c>
      <c r="D22" s="18" t="s">
        <v>913</v>
      </c>
      <c r="E22" s="18" t="s">
        <v>678</v>
      </c>
      <c r="F22" s="18" t="s">
        <v>914</v>
      </c>
      <c r="G22" s="19" t="s">
        <v>926</v>
      </c>
      <c r="H22" s="19" t="s">
        <v>916</v>
      </c>
      <c r="I22" s="19" t="s">
        <v>37</v>
      </c>
      <c r="J22" s="19" t="s">
        <v>927</v>
      </c>
    </row>
    <row r="23" customFormat="false" ht="23.25" hidden="false" customHeight="true" outlineLevel="0" collapsed="false">
      <c r="A23" s="17" t="s">
        <v>257</v>
      </c>
      <c r="B23" s="17" t="s">
        <v>44</v>
      </c>
      <c r="C23" s="18" t="s">
        <v>928</v>
      </c>
      <c r="D23" s="18" t="s">
        <v>913</v>
      </c>
      <c r="E23" s="18" t="s">
        <v>258</v>
      </c>
      <c r="F23" s="18" t="s">
        <v>929</v>
      </c>
      <c r="G23" s="19" t="s">
        <v>930</v>
      </c>
      <c r="H23" s="19" t="s">
        <v>853</v>
      </c>
      <c r="I23" s="19" t="s">
        <v>36</v>
      </c>
      <c r="J23" s="19" t="s">
        <v>931</v>
      </c>
    </row>
    <row r="24" customFormat="false" ht="23.25" hidden="false" customHeight="true" outlineLevel="0" collapsed="false">
      <c r="A24" s="17" t="s">
        <v>932</v>
      </c>
      <c r="B24" s="17" t="s">
        <v>45</v>
      </c>
      <c r="C24" s="18" t="s">
        <v>933</v>
      </c>
      <c r="D24" s="18" t="s">
        <v>934</v>
      </c>
      <c r="E24" s="18" t="s">
        <v>935</v>
      </c>
      <c r="F24" s="18" t="s">
        <v>936</v>
      </c>
      <c r="G24" s="19"/>
      <c r="H24" s="19" t="s">
        <v>859</v>
      </c>
      <c r="I24" s="19"/>
      <c r="J24" s="19"/>
    </row>
    <row r="25" customFormat="false" ht="23.25" hidden="false" customHeight="true" outlineLevel="0" collapsed="false">
      <c r="A25" s="17" t="s">
        <v>937</v>
      </c>
      <c r="B25" s="17" t="s">
        <v>45</v>
      </c>
      <c r="C25" s="18" t="s">
        <v>938</v>
      </c>
      <c r="D25" s="18" t="s">
        <v>934</v>
      </c>
      <c r="E25" s="18" t="s">
        <v>814</v>
      </c>
      <c r="F25" s="18" t="s">
        <v>939</v>
      </c>
      <c r="G25" s="19"/>
      <c r="H25" s="19" t="s">
        <v>859</v>
      </c>
      <c r="I25" s="19"/>
      <c r="J25" s="19"/>
    </row>
    <row r="26" customFormat="false" ht="23.25" hidden="false" customHeight="true" outlineLevel="0" collapsed="false">
      <c r="A26" s="17" t="s">
        <v>940</v>
      </c>
      <c r="B26" s="17" t="s">
        <v>45</v>
      </c>
      <c r="C26" s="18" t="s">
        <v>941</v>
      </c>
      <c r="D26" s="18" t="s">
        <v>942</v>
      </c>
      <c r="E26" s="18" t="s">
        <v>88</v>
      </c>
      <c r="F26" s="18" t="s">
        <v>943</v>
      </c>
      <c r="G26" s="19" t="s">
        <v>944</v>
      </c>
      <c r="H26" s="19" t="s">
        <v>853</v>
      </c>
      <c r="I26" s="19" t="s">
        <v>36</v>
      </c>
      <c r="J26" s="19" t="s">
        <v>945</v>
      </c>
    </row>
    <row r="27" customFormat="false" ht="23.25" hidden="false" customHeight="true" outlineLevel="0" collapsed="false">
      <c r="A27" s="17" t="s">
        <v>946</v>
      </c>
      <c r="B27" s="17" t="s">
        <v>45</v>
      </c>
      <c r="C27" s="18" t="s">
        <v>947</v>
      </c>
      <c r="D27" s="18" t="s">
        <v>896</v>
      </c>
      <c r="E27" s="18" t="s">
        <v>205</v>
      </c>
      <c r="F27" s="18" t="s">
        <v>948</v>
      </c>
      <c r="G27" s="19" t="s">
        <v>949</v>
      </c>
      <c r="H27" s="19" t="s">
        <v>873</v>
      </c>
      <c r="I27" s="19" t="s">
        <v>35</v>
      </c>
      <c r="J27" s="19" t="s">
        <v>950</v>
      </c>
    </row>
    <row r="28" customFormat="false" ht="15" hidden="false" customHeight="true" outlineLevel="0" collapsed="false">
      <c r="A28" s="17" t="s">
        <v>951</v>
      </c>
      <c r="B28" s="17" t="s">
        <v>46</v>
      </c>
      <c r="C28" s="18" t="s">
        <v>952</v>
      </c>
      <c r="D28" s="18" t="s">
        <v>953</v>
      </c>
      <c r="E28" s="18" t="s">
        <v>776</v>
      </c>
      <c r="F28" s="18" t="s">
        <v>954</v>
      </c>
      <c r="G28" s="19"/>
      <c r="H28" s="19" t="s">
        <v>859</v>
      </c>
      <c r="I28" s="19"/>
      <c r="J28" s="19"/>
    </row>
    <row r="29" customFormat="false" ht="23.25" hidden="false" customHeight="true" outlineLevel="0" collapsed="false">
      <c r="A29" s="17" t="s">
        <v>955</v>
      </c>
      <c r="B29" s="17" t="s">
        <v>46</v>
      </c>
      <c r="C29" s="18" t="s">
        <v>956</v>
      </c>
      <c r="D29" s="18" t="s">
        <v>780</v>
      </c>
      <c r="E29" s="18" t="s">
        <v>776</v>
      </c>
      <c r="F29" s="18" t="s">
        <v>957</v>
      </c>
      <c r="G29" s="19"/>
      <c r="H29" s="19" t="s">
        <v>859</v>
      </c>
      <c r="I29" s="19"/>
      <c r="J29" s="19"/>
    </row>
    <row r="30" customFormat="false" ht="23.25" hidden="false" customHeight="true" outlineLevel="0" collapsed="false">
      <c r="A30" s="17" t="s">
        <v>958</v>
      </c>
      <c r="B30" s="17" t="s">
        <v>46</v>
      </c>
      <c r="C30" s="18" t="s">
        <v>959</v>
      </c>
      <c r="D30" s="18" t="s">
        <v>958</v>
      </c>
      <c r="E30" s="18" t="s">
        <v>776</v>
      </c>
      <c r="F30" s="18" t="s">
        <v>960</v>
      </c>
      <c r="G30" s="19"/>
      <c r="H30" s="19" t="s">
        <v>859</v>
      </c>
      <c r="I30" s="19"/>
      <c r="J30" s="19"/>
    </row>
    <row r="31" customFormat="false" ht="34.5" hidden="false" customHeight="true" outlineLevel="0" collapsed="false">
      <c r="A31" s="17" t="s">
        <v>961</v>
      </c>
      <c r="B31" s="17" t="s">
        <v>46</v>
      </c>
      <c r="C31" s="18" t="s">
        <v>962</v>
      </c>
      <c r="D31" s="18" t="s">
        <v>963</v>
      </c>
      <c r="E31" s="18" t="s">
        <v>769</v>
      </c>
      <c r="F31" s="18" t="s">
        <v>964</v>
      </c>
      <c r="G31" s="19"/>
      <c r="H31" s="19" t="s">
        <v>859</v>
      </c>
      <c r="I31" s="19"/>
      <c r="J31" s="19"/>
    </row>
    <row r="32" customFormat="false" ht="23.25" hidden="false" customHeight="true" outlineLevel="0" collapsed="false">
      <c r="A32" s="17" t="s">
        <v>965</v>
      </c>
      <c r="B32" s="17" t="s">
        <v>47</v>
      </c>
      <c r="C32" s="18" t="s">
        <v>966</v>
      </c>
      <c r="D32" s="18" t="s">
        <v>967</v>
      </c>
      <c r="E32" s="18" t="s">
        <v>277</v>
      </c>
      <c r="F32" s="18" t="s">
        <v>968</v>
      </c>
      <c r="G32" s="19" t="s">
        <v>969</v>
      </c>
      <c r="H32" s="19" t="s">
        <v>873</v>
      </c>
      <c r="I32" s="19" t="s">
        <v>35</v>
      </c>
      <c r="J32" s="19" t="s">
        <v>970</v>
      </c>
    </row>
    <row r="33" customFormat="false" ht="23.25" hidden="false" customHeight="true" outlineLevel="0" collapsed="false">
      <c r="A33" s="17" t="s">
        <v>971</v>
      </c>
      <c r="B33" s="17" t="s">
        <v>47</v>
      </c>
      <c r="C33" s="18" t="s">
        <v>972</v>
      </c>
      <c r="D33" s="18" t="s">
        <v>973</v>
      </c>
      <c r="E33" s="18" t="s">
        <v>277</v>
      </c>
      <c r="F33" s="18" t="s">
        <v>974</v>
      </c>
      <c r="G33" s="19" t="s">
        <v>975</v>
      </c>
      <c r="H33" s="19" t="s">
        <v>873</v>
      </c>
      <c r="I33" s="19" t="s">
        <v>35</v>
      </c>
      <c r="J33" s="19" t="s">
        <v>970</v>
      </c>
    </row>
    <row r="34" customFormat="false" ht="23.25" hidden="false" customHeight="true" outlineLevel="0" collapsed="false">
      <c r="A34" s="17" t="s">
        <v>976</v>
      </c>
      <c r="B34" s="17" t="s">
        <v>47</v>
      </c>
      <c r="C34" s="18" t="s">
        <v>977</v>
      </c>
      <c r="D34" s="18" t="s">
        <v>978</v>
      </c>
      <c r="E34" s="18" t="s">
        <v>277</v>
      </c>
      <c r="F34" s="18" t="s">
        <v>979</v>
      </c>
      <c r="G34" s="19"/>
      <c r="H34" s="19" t="s">
        <v>859</v>
      </c>
      <c r="I34" s="19"/>
      <c r="J34" s="19"/>
    </row>
    <row r="35" customFormat="false" ht="23.25" hidden="false" customHeight="true" outlineLevel="0" collapsed="false">
      <c r="A35" s="17" t="s">
        <v>980</v>
      </c>
      <c r="B35" s="17" t="s">
        <v>47</v>
      </c>
      <c r="C35" s="18" t="s">
        <v>981</v>
      </c>
      <c r="D35" s="18" t="s">
        <v>973</v>
      </c>
      <c r="E35" s="18" t="s">
        <v>277</v>
      </c>
      <c r="F35" s="18" t="s">
        <v>982</v>
      </c>
      <c r="G35" s="19" t="s">
        <v>983</v>
      </c>
      <c r="H35" s="19" t="s">
        <v>853</v>
      </c>
      <c r="I35" s="19" t="s">
        <v>36</v>
      </c>
      <c r="J35" s="19" t="s">
        <v>984</v>
      </c>
    </row>
    <row r="36" customFormat="false" ht="23.25" hidden="false" customHeight="true" outlineLevel="0" collapsed="false">
      <c r="A36" s="17" t="s">
        <v>985</v>
      </c>
      <c r="B36" s="17" t="s">
        <v>47</v>
      </c>
      <c r="C36" s="18" t="s">
        <v>986</v>
      </c>
      <c r="D36" s="18" t="s">
        <v>973</v>
      </c>
      <c r="E36" s="18" t="s">
        <v>277</v>
      </c>
      <c r="F36" s="18" t="s">
        <v>987</v>
      </c>
      <c r="G36" s="19" t="s">
        <v>988</v>
      </c>
      <c r="H36" s="19" t="s">
        <v>916</v>
      </c>
      <c r="I36" s="19" t="s">
        <v>37</v>
      </c>
      <c r="J36" s="19" t="s">
        <v>989</v>
      </c>
    </row>
    <row r="37" customFormat="false" ht="23.25" hidden="false" customHeight="true" outlineLevel="0" collapsed="false">
      <c r="A37" s="17" t="s">
        <v>990</v>
      </c>
      <c r="B37" s="17" t="s">
        <v>48</v>
      </c>
      <c r="C37" s="18" t="s">
        <v>991</v>
      </c>
      <c r="D37" s="18" t="s">
        <v>992</v>
      </c>
      <c r="E37" s="18" t="s">
        <v>622</v>
      </c>
      <c r="F37" s="18" t="s">
        <v>993</v>
      </c>
      <c r="G37" s="19" t="s">
        <v>994</v>
      </c>
      <c r="H37" s="19" t="s">
        <v>873</v>
      </c>
      <c r="I37" s="19" t="s">
        <v>35</v>
      </c>
      <c r="J37" s="19" t="s">
        <v>995</v>
      </c>
    </row>
    <row r="38" customFormat="false" ht="23.25" hidden="false" customHeight="true" outlineLevel="0" collapsed="false">
      <c r="A38" s="17" t="s">
        <v>996</v>
      </c>
      <c r="B38" s="17" t="s">
        <v>48</v>
      </c>
      <c r="C38" s="18" t="s">
        <v>997</v>
      </c>
      <c r="D38" s="18" t="s">
        <v>992</v>
      </c>
      <c r="E38" s="18" t="s">
        <v>998</v>
      </c>
      <c r="F38" s="18" t="s">
        <v>999</v>
      </c>
      <c r="G38" s="19"/>
      <c r="H38" s="19" t="s">
        <v>859</v>
      </c>
      <c r="I38" s="19"/>
      <c r="J38" s="19"/>
    </row>
    <row r="39" customFormat="false" ht="15" hidden="false" customHeight="true" outlineLevel="0" collapsed="false">
      <c r="A39" s="17" t="s">
        <v>1000</v>
      </c>
      <c r="B39" s="17" t="s">
        <v>48</v>
      </c>
      <c r="C39" s="18" t="s">
        <v>1001</v>
      </c>
      <c r="D39" s="18" t="s">
        <v>992</v>
      </c>
      <c r="E39" s="18" t="s">
        <v>166</v>
      </c>
      <c r="F39" s="18" t="s">
        <v>1002</v>
      </c>
      <c r="G39" s="19"/>
      <c r="H39" s="19" t="s">
        <v>859</v>
      </c>
      <c r="I39" s="19"/>
      <c r="J39" s="19"/>
    </row>
    <row r="40" customFormat="false" ht="23.25" hidden="false" customHeight="true" outlineLevel="0" collapsed="false">
      <c r="A40" s="17" t="s">
        <v>595</v>
      </c>
      <c r="B40" s="17" t="s">
        <v>49</v>
      </c>
      <c r="C40" s="18" t="s">
        <v>1003</v>
      </c>
      <c r="D40" s="18" t="s">
        <v>1004</v>
      </c>
      <c r="E40" s="18" t="s">
        <v>706</v>
      </c>
      <c r="F40" s="18" t="s">
        <v>1005</v>
      </c>
      <c r="G40" s="19" t="s">
        <v>1006</v>
      </c>
      <c r="H40" s="19" t="s">
        <v>873</v>
      </c>
      <c r="I40" s="19" t="s">
        <v>35</v>
      </c>
      <c r="J40" s="19" t="s">
        <v>1007</v>
      </c>
    </row>
    <row r="41" customFormat="false" ht="23.25" hidden="false" customHeight="true" outlineLevel="0" collapsed="false">
      <c r="A41" s="17" t="s">
        <v>1008</v>
      </c>
      <c r="B41" s="17" t="s">
        <v>49</v>
      </c>
      <c r="C41" s="18" t="s">
        <v>1009</v>
      </c>
      <c r="D41" s="18" t="s">
        <v>1010</v>
      </c>
      <c r="E41" s="18" t="s">
        <v>268</v>
      </c>
      <c r="F41" s="18" t="s">
        <v>1011</v>
      </c>
      <c r="G41" s="19" t="s">
        <v>1012</v>
      </c>
      <c r="H41" s="19" t="s">
        <v>853</v>
      </c>
      <c r="I41" s="19" t="s">
        <v>36</v>
      </c>
      <c r="J41" s="19" t="s">
        <v>1013</v>
      </c>
    </row>
    <row r="42" customFormat="false" ht="23.25" hidden="false" customHeight="true" outlineLevel="0" collapsed="false">
      <c r="A42" s="17" t="s">
        <v>1014</v>
      </c>
      <c r="B42" s="17" t="s">
        <v>49</v>
      </c>
      <c r="C42" s="18" t="s">
        <v>1015</v>
      </c>
      <c r="D42" s="18" t="s">
        <v>1016</v>
      </c>
      <c r="E42" s="18" t="s">
        <v>214</v>
      </c>
      <c r="F42" s="18" t="s">
        <v>1017</v>
      </c>
      <c r="G42" s="19"/>
      <c r="H42" s="19" t="s">
        <v>859</v>
      </c>
      <c r="I42" s="19"/>
      <c r="J42" s="19"/>
    </row>
    <row r="43" customFormat="false" ht="23.25" hidden="false" customHeight="true" outlineLevel="0" collapsed="false">
      <c r="A43" s="17" t="s">
        <v>1018</v>
      </c>
      <c r="B43" s="17" t="s">
        <v>49</v>
      </c>
      <c r="C43" s="18" t="s">
        <v>1019</v>
      </c>
      <c r="D43" s="18" t="s">
        <v>1020</v>
      </c>
      <c r="E43" s="18" t="s">
        <v>214</v>
      </c>
      <c r="F43" s="18" t="s">
        <v>1021</v>
      </c>
      <c r="G43" s="19"/>
      <c r="H43" s="19" t="s">
        <v>859</v>
      </c>
      <c r="I43" s="19"/>
      <c r="J43" s="19"/>
    </row>
    <row r="44" customFormat="false" ht="15" hidden="false" customHeight="true" outlineLevel="0" collapsed="false">
      <c r="A44" s="17" t="s">
        <v>213</v>
      </c>
      <c r="B44" s="17" t="s">
        <v>49</v>
      </c>
      <c r="C44" s="18" t="s">
        <v>1022</v>
      </c>
      <c r="D44" s="18" t="s">
        <v>961</v>
      </c>
      <c r="E44" s="18" t="s">
        <v>214</v>
      </c>
      <c r="F44" s="18" t="s">
        <v>1023</v>
      </c>
      <c r="G44" s="19" t="s">
        <v>1024</v>
      </c>
      <c r="H44" s="19" t="s">
        <v>853</v>
      </c>
      <c r="I44" s="19" t="s">
        <v>36</v>
      </c>
      <c r="J44" s="19" t="s">
        <v>1025</v>
      </c>
    </row>
    <row r="45" customFormat="false" ht="23.25" hidden="false" customHeight="true" outlineLevel="0" collapsed="false">
      <c r="A45" s="17" t="s">
        <v>204</v>
      </c>
      <c r="B45" s="17" t="s">
        <v>49</v>
      </c>
      <c r="C45" s="18" t="s">
        <v>1026</v>
      </c>
      <c r="D45" s="18" t="s">
        <v>1027</v>
      </c>
      <c r="E45" s="18" t="s">
        <v>205</v>
      </c>
      <c r="F45" s="18" t="s">
        <v>1028</v>
      </c>
      <c r="G45" s="19" t="s">
        <v>1029</v>
      </c>
      <c r="H45" s="19" t="s">
        <v>853</v>
      </c>
      <c r="I45" s="19" t="s">
        <v>36</v>
      </c>
      <c r="J45" s="19" t="s">
        <v>1030</v>
      </c>
    </row>
    <row r="46" customFormat="false" ht="23.25" hidden="false" customHeight="true" outlineLevel="0" collapsed="false">
      <c r="A46" s="17" t="s">
        <v>184</v>
      </c>
      <c r="B46" s="17" t="s">
        <v>49</v>
      </c>
      <c r="C46" s="18" t="s">
        <v>1031</v>
      </c>
      <c r="D46" s="18" t="s">
        <v>963</v>
      </c>
      <c r="E46" s="18" t="s">
        <v>185</v>
      </c>
      <c r="F46" s="18" t="s">
        <v>1032</v>
      </c>
      <c r="G46" s="19" t="s">
        <v>1033</v>
      </c>
      <c r="H46" s="19" t="s">
        <v>916</v>
      </c>
      <c r="I46" s="19" t="s">
        <v>37</v>
      </c>
      <c r="J46" s="19" t="s">
        <v>1034</v>
      </c>
    </row>
    <row r="47" customFormat="false" ht="15" hidden="false" customHeight="true" outlineLevel="0" collapsed="false">
      <c r="A47" s="17" t="s">
        <v>812</v>
      </c>
      <c r="B47" s="17" t="s">
        <v>49</v>
      </c>
      <c r="C47" s="18" t="s">
        <v>1035</v>
      </c>
      <c r="D47" s="18" t="s">
        <v>961</v>
      </c>
      <c r="E47" s="18" t="s">
        <v>807</v>
      </c>
      <c r="F47" s="18" t="s">
        <v>1036</v>
      </c>
      <c r="G47" s="19" t="s">
        <v>1037</v>
      </c>
      <c r="H47" s="19" t="s">
        <v>873</v>
      </c>
      <c r="I47" s="19" t="s">
        <v>35</v>
      </c>
      <c r="J47" s="19" t="s">
        <v>1038</v>
      </c>
    </row>
    <row r="48" customFormat="false" ht="23.25" hidden="false" customHeight="true" outlineLevel="0" collapsed="false">
      <c r="A48" s="17" t="s">
        <v>1039</v>
      </c>
      <c r="B48" s="17" t="s">
        <v>50</v>
      </c>
      <c r="C48" s="18" t="s">
        <v>1040</v>
      </c>
      <c r="D48" s="18" t="s">
        <v>857</v>
      </c>
      <c r="E48" s="18" t="s">
        <v>205</v>
      </c>
      <c r="F48" s="18" t="s">
        <v>1041</v>
      </c>
      <c r="G48" s="19" t="s">
        <v>1042</v>
      </c>
      <c r="H48" s="19" t="s">
        <v>873</v>
      </c>
      <c r="I48" s="19" t="s">
        <v>35</v>
      </c>
      <c r="J48" s="19" t="s">
        <v>1043</v>
      </c>
    </row>
    <row r="49" customFormat="false" ht="15" hidden="false" customHeight="true" outlineLevel="0" collapsed="false">
      <c r="A49" s="17" t="s">
        <v>1044</v>
      </c>
      <c r="B49" s="17" t="s">
        <v>50</v>
      </c>
      <c r="C49" s="18" t="s">
        <v>1045</v>
      </c>
      <c r="D49" s="18" t="s">
        <v>857</v>
      </c>
      <c r="E49" s="18" t="s">
        <v>205</v>
      </c>
      <c r="F49" s="18" t="s">
        <v>1046</v>
      </c>
      <c r="G49" s="19"/>
      <c r="H49" s="19" t="s">
        <v>859</v>
      </c>
      <c r="I49" s="19"/>
      <c r="J49" s="19"/>
    </row>
    <row r="50" customFormat="false" ht="15" hidden="false" customHeight="true" outlineLevel="0" collapsed="false">
      <c r="A50" s="17" t="s">
        <v>1047</v>
      </c>
      <c r="B50" s="17" t="s">
        <v>50</v>
      </c>
      <c r="C50" s="18" t="s">
        <v>1048</v>
      </c>
      <c r="D50" s="18" t="s">
        <v>857</v>
      </c>
      <c r="E50" s="18" t="s">
        <v>205</v>
      </c>
      <c r="F50" s="18" t="s">
        <v>1049</v>
      </c>
      <c r="G50" s="19"/>
      <c r="H50" s="19" t="s">
        <v>859</v>
      </c>
      <c r="I50" s="19"/>
      <c r="J50" s="19"/>
    </row>
    <row r="51" customFormat="false" ht="23.25" hidden="false" customHeight="true" outlineLevel="0" collapsed="false">
      <c r="A51" s="17" t="s">
        <v>1050</v>
      </c>
      <c r="B51" s="17" t="s">
        <v>51</v>
      </c>
      <c r="C51" s="18" t="s">
        <v>1051</v>
      </c>
      <c r="D51" s="18" t="s">
        <v>1052</v>
      </c>
      <c r="E51" s="18" t="s">
        <v>195</v>
      </c>
      <c r="F51" s="18" t="s">
        <v>1053</v>
      </c>
      <c r="G51" s="19" t="s">
        <v>1054</v>
      </c>
      <c r="H51" s="19" t="s">
        <v>853</v>
      </c>
      <c r="I51" s="19" t="s">
        <v>36</v>
      </c>
      <c r="J51" s="19" t="s">
        <v>1055</v>
      </c>
    </row>
    <row r="52" customFormat="false" ht="23.25" hidden="false" customHeight="true" outlineLevel="0" collapsed="false">
      <c r="A52" s="17" t="s">
        <v>1056</v>
      </c>
      <c r="B52" s="17" t="s">
        <v>51</v>
      </c>
      <c r="C52" s="18" t="s">
        <v>1057</v>
      </c>
      <c r="D52" s="18" t="s">
        <v>1058</v>
      </c>
      <c r="E52" s="18" t="s">
        <v>195</v>
      </c>
      <c r="F52" s="18" t="s">
        <v>1059</v>
      </c>
      <c r="G52" s="19"/>
      <c r="H52" s="19" t="s">
        <v>859</v>
      </c>
      <c r="I52" s="19"/>
      <c r="J52" s="19"/>
    </row>
    <row r="53" customFormat="false" ht="34.5" hidden="false" customHeight="true" outlineLevel="0" collapsed="false">
      <c r="A53" s="17" t="s">
        <v>1060</v>
      </c>
      <c r="B53" s="17" t="s">
        <v>51</v>
      </c>
      <c r="C53" s="18" t="s">
        <v>1061</v>
      </c>
      <c r="D53" s="18" t="s">
        <v>1062</v>
      </c>
      <c r="E53" s="18" t="s">
        <v>195</v>
      </c>
      <c r="F53" s="18" t="s">
        <v>1063</v>
      </c>
      <c r="G53" s="19" t="s">
        <v>1064</v>
      </c>
      <c r="H53" s="19" t="s">
        <v>853</v>
      </c>
      <c r="I53" s="19" t="s">
        <v>36</v>
      </c>
      <c r="J53" s="19" t="s">
        <v>1065</v>
      </c>
    </row>
    <row r="54" customFormat="false" ht="23.25" hidden="false" customHeight="true" outlineLevel="0" collapsed="false">
      <c r="A54" s="17" t="s">
        <v>1066</v>
      </c>
      <c r="B54" s="17" t="s">
        <v>51</v>
      </c>
      <c r="C54" s="18" t="s">
        <v>1067</v>
      </c>
      <c r="D54" s="18" t="s">
        <v>1058</v>
      </c>
      <c r="E54" s="18" t="s">
        <v>195</v>
      </c>
      <c r="F54" s="18" t="s">
        <v>1068</v>
      </c>
      <c r="G54" s="19" t="s">
        <v>1069</v>
      </c>
      <c r="H54" s="19" t="s">
        <v>853</v>
      </c>
      <c r="I54" s="19" t="s">
        <v>36</v>
      </c>
      <c r="J54" s="19" t="s">
        <v>1070</v>
      </c>
    </row>
    <row r="55" customFormat="false" ht="23.25" hidden="false" customHeight="true" outlineLevel="0" collapsed="false">
      <c r="A55" s="17" t="s">
        <v>1071</v>
      </c>
      <c r="B55" s="17" t="s">
        <v>51</v>
      </c>
      <c r="C55" s="18" t="s">
        <v>1072</v>
      </c>
      <c r="D55" s="18" t="s">
        <v>1073</v>
      </c>
      <c r="E55" s="18" t="s">
        <v>195</v>
      </c>
      <c r="F55" s="18" t="s">
        <v>1074</v>
      </c>
      <c r="G55" s="19" t="s">
        <v>1075</v>
      </c>
      <c r="H55" s="19" t="s">
        <v>853</v>
      </c>
      <c r="I55" s="19" t="s">
        <v>36</v>
      </c>
      <c r="J55" s="19" t="s">
        <v>1076</v>
      </c>
    </row>
    <row r="56" customFormat="false" ht="23.25" hidden="false" customHeight="true" outlineLevel="0" collapsed="false">
      <c r="A56" s="17" t="s">
        <v>155</v>
      </c>
      <c r="B56" s="17" t="s">
        <v>52</v>
      </c>
      <c r="C56" s="18" t="s">
        <v>1077</v>
      </c>
      <c r="D56" s="18" t="s">
        <v>857</v>
      </c>
      <c r="E56" s="18" t="s">
        <v>156</v>
      </c>
      <c r="F56" s="18" t="s">
        <v>1078</v>
      </c>
      <c r="G56" s="19" t="s">
        <v>1079</v>
      </c>
      <c r="H56" s="19" t="s">
        <v>853</v>
      </c>
      <c r="I56" s="19" t="s">
        <v>36</v>
      </c>
      <c r="J56" s="19" t="s">
        <v>1080</v>
      </c>
    </row>
    <row r="57" customFormat="false" ht="23.25" hidden="false" customHeight="true" outlineLevel="0" collapsed="false">
      <c r="A57" s="17" t="s">
        <v>1081</v>
      </c>
      <c r="B57" s="17" t="s">
        <v>52</v>
      </c>
      <c r="C57" s="18" t="s">
        <v>1082</v>
      </c>
      <c r="D57" s="18" t="s">
        <v>857</v>
      </c>
      <c r="E57" s="18" t="s">
        <v>156</v>
      </c>
      <c r="F57" s="18" t="s">
        <v>1083</v>
      </c>
      <c r="G57" s="19" t="s">
        <v>1084</v>
      </c>
      <c r="H57" s="19" t="s">
        <v>873</v>
      </c>
      <c r="I57" s="19" t="s">
        <v>35</v>
      </c>
      <c r="J57" s="19" t="s">
        <v>1085</v>
      </c>
    </row>
    <row r="58" customFormat="false" ht="15" hidden="false" customHeight="true" outlineLevel="0" collapsed="false">
      <c r="A58" s="17" t="s">
        <v>1086</v>
      </c>
      <c r="B58" s="17" t="s">
        <v>52</v>
      </c>
      <c r="C58" s="18" t="s">
        <v>1087</v>
      </c>
      <c r="D58" s="18" t="s">
        <v>857</v>
      </c>
      <c r="E58" s="18" t="s">
        <v>156</v>
      </c>
      <c r="F58" s="18" t="s">
        <v>1088</v>
      </c>
      <c r="G58" s="19"/>
      <c r="H58" s="19" t="s">
        <v>859</v>
      </c>
      <c r="I58" s="19"/>
      <c r="J58" s="19"/>
    </row>
    <row r="59" customFormat="false" ht="23.25" hidden="false" customHeight="true" outlineLevel="0" collapsed="false">
      <c r="A59" s="17" t="s">
        <v>174</v>
      </c>
      <c r="B59" s="17" t="s">
        <v>53</v>
      </c>
      <c r="C59" s="18" t="s">
        <v>1089</v>
      </c>
      <c r="D59" s="18" t="s">
        <v>1004</v>
      </c>
      <c r="E59" s="18" t="s">
        <v>175</v>
      </c>
      <c r="F59" s="18" t="s">
        <v>1090</v>
      </c>
      <c r="G59" s="19" t="s">
        <v>1091</v>
      </c>
      <c r="H59" s="19" t="s">
        <v>853</v>
      </c>
      <c r="I59" s="19" t="s">
        <v>36</v>
      </c>
      <c r="J59" s="19" t="s">
        <v>1092</v>
      </c>
    </row>
    <row r="60" customFormat="false" ht="15" hidden="false" customHeight="true" outlineLevel="0" collapsed="false">
      <c r="A60" s="17" t="s">
        <v>589</v>
      </c>
      <c r="B60" s="17" t="s">
        <v>53</v>
      </c>
      <c r="C60" s="18" t="s">
        <v>1093</v>
      </c>
      <c r="D60" s="18" t="s">
        <v>857</v>
      </c>
      <c r="E60" s="18" t="s">
        <v>175</v>
      </c>
      <c r="F60" s="18" t="s">
        <v>1094</v>
      </c>
      <c r="G60" s="19" t="s">
        <v>1095</v>
      </c>
      <c r="H60" s="19" t="s">
        <v>853</v>
      </c>
      <c r="I60" s="19" t="s">
        <v>36</v>
      </c>
      <c r="J60" s="19" t="s">
        <v>1096</v>
      </c>
    </row>
    <row r="61" customFormat="false" ht="23.25" hidden="false" customHeight="true" outlineLevel="0" collapsed="false">
      <c r="A61" s="17" t="s">
        <v>1097</v>
      </c>
      <c r="B61" s="17" t="s">
        <v>53</v>
      </c>
      <c r="C61" s="18" t="s">
        <v>1098</v>
      </c>
      <c r="D61" s="18" t="s">
        <v>857</v>
      </c>
      <c r="E61" s="18" t="s">
        <v>655</v>
      </c>
      <c r="F61" s="18" t="s">
        <v>1099</v>
      </c>
      <c r="G61" s="19" t="s">
        <v>1100</v>
      </c>
      <c r="H61" s="19" t="s">
        <v>853</v>
      </c>
      <c r="I61" s="19" t="s">
        <v>36</v>
      </c>
      <c r="J61" s="19" t="s">
        <v>1101</v>
      </c>
    </row>
    <row r="62" customFormat="false" ht="23.25" hidden="false" customHeight="true" outlineLevel="0" collapsed="false">
      <c r="A62" s="17" t="s">
        <v>1102</v>
      </c>
      <c r="B62" s="17" t="s">
        <v>54</v>
      </c>
      <c r="C62" s="18" t="s">
        <v>1103</v>
      </c>
      <c r="D62" s="18" t="s">
        <v>857</v>
      </c>
      <c r="E62" s="18" t="s">
        <v>126</v>
      </c>
      <c r="F62" s="18" t="s">
        <v>1104</v>
      </c>
      <c r="G62" s="19" t="s">
        <v>1105</v>
      </c>
      <c r="H62" s="19" t="s">
        <v>873</v>
      </c>
      <c r="I62" s="19" t="s">
        <v>35</v>
      </c>
      <c r="J62" s="19" t="s">
        <v>1106</v>
      </c>
    </row>
    <row r="63" customFormat="false" ht="23.25" hidden="false" customHeight="true" outlineLevel="0" collapsed="false">
      <c r="A63" s="17" t="s">
        <v>1107</v>
      </c>
      <c r="B63" s="17" t="s">
        <v>54</v>
      </c>
      <c r="C63" s="18" t="s">
        <v>1108</v>
      </c>
      <c r="D63" s="18" t="s">
        <v>857</v>
      </c>
      <c r="E63" s="18" t="s">
        <v>126</v>
      </c>
      <c r="F63" s="18" t="s">
        <v>1109</v>
      </c>
      <c r="G63" s="19"/>
      <c r="H63" s="19" t="s">
        <v>859</v>
      </c>
      <c r="I63" s="19"/>
      <c r="J63" s="19"/>
    </row>
    <row r="64" customFormat="false" ht="23.25" hidden="false" customHeight="true" outlineLevel="0" collapsed="false">
      <c r="A64" s="17" t="s">
        <v>1110</v>
      </c>
      <c r="B64" s="17" t="s">
        <v>54</v>
      </c>
      <c r="C64" s="18" t="s">
        <v>1111</v>
      </c>
      <c r="D64" s="18" t="s">
        <v>857</v>
      </c>
      <c r="E64" s="18" t="s">
        <v>126</v>
      </c>
      <c r="F64" s="18" t="s">
        <v>1109</v>
      </c>
      <c r="G64" s="19" t="s">
        <v>1112</v>
      </c>
      <c r="H64" s="19" t="s">
        <v>873</v>
      </c>
      <c r="I64" s="19" t="s">
        <v>35</v>
      </c>
      <c r="J64" s="19" t="s">
        <v>1106</v>
      </c>
    </row>
    <row r="65" customFormat="false" ht="23.25" hidden="false" customHeight="true" outlineLevel="0" collapsed="false">
      <c r="A65" s="17" t="s">
        <v>1113</v>
      </c>
      <c r="B65" s="17" t="s">
        <v>54</v>
      </c>
      <c r="C65" s="18" t="s">
        <v>1114</v>
      </c>
      <c r="D65" s="18" t="s">
        <v>857</v>
      </c>
      <c r="E65" s="18" t="s">
        <v>1115</v>
      </c>
      <c r="F65" s="18" t="s">
        <v>1116</v>
      </c>
      <c r="G65" s="19" t="s">
        <v>1117</v>
      </c>
      <c r="H65" s="19" t="s">
        <v>853</v>
      </c>
      <c r="I65" s="19" t="s">
        <v>36</v>
      </c>
      <c r="J65" s="19" t="s">
        <v>1118</v>
      </c>
    </row>
    <row r="66" customFormat="false" ht="23.25" hidden="false" customHeight="true" outlineLevel="0" collapsed="false">
      <c r="A66" s="17" t="s">
        <v>1119</v>
      </c>
      <c r="B66" s="17" t="s">
        <v>54</v>
      </c>
      <c r="C66" s="18" t="s">
        <v>1120</v>
      </c>
      <c r="D66" s="18" t="s">
        <v>857</v>
      </c>
      <c r="E66" s="18" t="s">
        <v>126</v>
      </c>
      <c r="F66" s="18" t="s">
        <v>1121</v>
      </c>
      <c r="G66" s="19" t="s">
        <v>1122</v>
      </c>
      <c r="H66" s="19" t="s">
        <v>853</v>
      </c>
      <c r="I66" s="19" t="s">
        <v>36</v>
      </c>
      <c r="J66" s="19" t="s">
        <v>1123</v>
      </c>
    </row>
    <row r="67" customFormat="false" ht="23.25" hidden="false" customHeight="true" outlineLevel="0" collapsed="false">
      <c r="A67" s="17" t="s">
        <v>1124</v>
      </c>
      <c r="B67" s="17" t="s">
        <v>54</v>
      </c>
      <c r="C67" s="18" t="s">
        <v>1125</v>
      </c>
      <c r="D67" s="18" t="s">
        <v>857</v>
      </c>
      <c r="E67" s="18" t="s">
        <v>126</v>
      </c>
      <c r="F67" s="18" t="s">
        <v>1109</v>
      </c>
      <c r="G67" s="19"/>
      <c r="H67" s="19" t="s">
        <v>859</v>
      </c>
      <c r="I67" s="19"/>
      <c r="J67" s="19"/>
    </row>
    <row r="68" customFormat="false" ht="23.25" hidden="false" customHeight="true" outlineLevel="0" collapsed="false">
      <c r="A68" s="17" t="s">
        <v>125</v>
      </c>
      <c r="B68" s="17" t="s">
        <v>54</v>
      </c>
      <c r="C68" s="18" t="s">
        <v>1126</v>
      </c>
      <c r="D68" s="18" t="s">
        <v>857</v>
      </c>
      <c r="E68" s="18" t="s">
        <v>126</v>
      </c>
      <c r="F68" s="18" t="s">
        <v>1109</v>
      </c>
      <c r="G68" s="19" t="s">
        <v>1127</v>
      </c>
      <c r="H68" s="19" t="s">
        <v>916</v>
      </c>
      <c r="I68" s="19" t="s">
        <v>37</v>
      </c>
      <c r="J68" s="19" t="s">
        <v>1128</v>
      </c>
    </row>
    <row r="69" customFormat="false" ht="34.5" hidden="false" customHeight="true" outlineLevel="0" collapsed="false">
      <c r="A69" s="17" t="s">
        <v>1129</v>
      </c>
      <c r="B69" s="17" t="s">
        <v>55</v>
      </c>
      <c r="C69" s="18" t="s">
        <v>1130</v>
      </c>
      <c r="D69" s="18" t="s">
        <v>992</v>
      </c>
      <c r="E69" s="18" t="s">
        <v>622</v>
      </c>
      <c r="F69" s="18" t="s">
        <v>1131</v>
      </c>
      <c r="G69" s="19" t="s">
        <v>1132</v>
      </c>
      <c r="H69" s="19" t="s">
        <v>873</v>
      </c>
      <c r="I69" s="19" t="s">
        <v>35</v>
      </c>
      <c r="J69" s="19" t="s">
        <v>995</v>
      </c>
    </row>
    <row r="70" customFormat="false" ht="23.25" hidden="false" customHeight="true" outlineLevel="0" collapsed="false">
      <c r="A70" s="17" t="s">
        <v>165</v>
      </c>
      <c r="B70" s="17" t="s">
        <v>55</v>
      </c>
      <c r="C70" s="18" t="s">
        <v>1133</v>
      </c>
      <c r="D70" s="18" t="s">
        <v>992</v>
      </c>
      <c r="E70" s="18" t="s">
        <v>166</v>
      </c>
      <c r="F70" s="18" t="s">
        <v>1134</v>
      </c>
      <c r="G70" s="19" t="s">
        <v>1135</v>
      </c>
      <c r="H70" s="19" t="s">
        <v>853</v>
      </c>
      <c r="I70" s="19" t="s">
        <v>36</v>
      </c>
      <c r="J70" s="19" t="s">
        <v>1136</v>
      </c>
    </row>
    <row r="71" customFormat="false" ht="23.25" hidden="false" customHeight="true" outlineLevel="0" collapsed="false">
      <c r="A71" s="17" t="s">
        <v>1137</v>
      </c>
      <c r="B71" s="17" t="s">
        <v>55</v>
      </c>
      <c r="C71" s="18" t="s">
        <v>1138</v>
      </c>
      <c r="D71" s="18" t="s">
        <v>1139</v>
      </c>
      <c r="E71" s="18" t="s">
        <v>88</v>
      </c>
      <c r="F71" s="18" t="s">
        <v>1140</v>
      </c>
      <c r="G71" s="19" t="s">
        <v>1141</v>
      </c>
      <c r="H71" s="19" t="s">
        <v>853</v>
      </c>
      <c r="I71" s="19" t="s">
        <v>36</v>
      </c>
      <c r="J71" s="19" t="s">
        <v>1142</v>
      </c>
    </row>
    <row r="72" customFormat="false" ht="23.25" hidden="false" customHeight="true" outlineLevel="0" collapsed="false">
      <c r="A72" s="17" t="s">
        <v>98</v>
      </c>
      <c r="B72" s="17" t="s">
        <v>55</v>
      </c>
      <c r="C72" s="18" t="s">
        <v>1143</v>
      </c>
      <c r="D72" s="18" t="s">
        <v>1139</v>
      </c>
      <c r="E72" s="18" t="s">
        <v>99</v>
      </c>
      <c r="F72" s="18" t="s">
        <v>1144</v>
      </c>
      <c r="G72" s="19" t="s">
        <v>1145</v>
      </c>
      <c r="H72" s="19" t="s">
        <v>916</v>
      </c>
      <c r="I72" s="19" t="s">
        <v>37</v>
      </c>
      <c r="J72" s="19" t="s">
        <v>1146</v>
      </c>
    </row>
    <row r="73" customFormat="false" ht="23.25" hidden="false" customHeight="true" outlineLevel="0" collapsed="false">
      <c r="A73" s="17" t="s">
        <v>1147</v>
      </c>
      <c r="B73" s="17" t="s">
        <v>55</v>
      </c>
      <c r="C73" s="18" t="s">
        <v>1148</v>
      </c>
      <c r="D73" s="18" t="s">
        <v>1139</v>
      </c>
      <c r="E73" s="18" t="s">
        <v>647</v>
      </c>
      <c r="F73" s="18" t="s">
        <v>1149</v>
      </c>
      <c r="G73" s="19" t="s">
        <v>1150</v>
      </c>
      <c r="H73" s="19" t="s">
        <v>873</v>
      </c>
      <c r="I73" s="19" t="s">
        <v>35</v>
      </c>
      <c r="J73" s="19" t="s">
        <v>1151</v>
      </c>
    </row>
    <row r="74" customFormat="false" ht="23.25" hidden="false" customHeight="true" outlineLevel="0" collapsed="false">
      <c r="A74" s="17" t="s">
        <v>1152</v>
      </c>
      <c r="B74" s="17" t="s">
        <v>55</v>
      </c>
      <c r="C74" s="18" t="s">
        <v>1153</v>
      </c>
      <c r="D74" s="18" t="s">
        <v>1139</v>
      </c>
      <c r="E74" s="18" t="s">
        <v>647</v>
      </c>
      <c r="F74" s="18" t="s">
        <v>1154</v>
      </c>
      <c r="G74" s="19" t="s">
        <v>1155</v>
      </c>
      <c r="H74" s="19" t="s">
        <v>873</v>
      </c>
      <c r="I74" s="19" t="s">
        <v>35</v>
      </c>
      <c r="J74" s="19" t="s">
        <v>1151</v>
      </c>
    </row>
    <row r="75" customFormat="false" ht="23.25" hidden="false" customHeight="true" outlineLevel="0" collapsed="false">
      <c r="A75" s="17" t="s">
        <v>1156</v>
      </c>
      <c r="B75" s="17" t="s">
        <v>55</v>
      </c>
      <c r="C75" s="18" t="s">
        <v>1157</v>
      </c>
      <c r="D75" s="18" t="s">
        <v>1139</v>
      </c>
      <c r="E75" s="18" t="s">
        <v>655</v>
      </c>
      <c r="F75" s="18" t="s">
        <v>1158</v>
      </c>
      <c r="G75" s="19" t="s">
        <v>1159</v>
      </c>
      <c r="H75" s="19" t="s">
        <v>853</v>
      </c>
      <c r="I75" s="19" t="s">
        <v>36</v>
      </c>
      <c r="J75" s="19" t="s">
        <v>1160</v>
      </c>
    </row>
    <row r="76" customFormat="false" ht="23.25" hidden="false" customHeight="true" outlineLevel="0" collapsed="false">
      <c r="A76" s="17" t="s">
        <v>534</v>
      </c>
      <c r="B76" s="17" t="s">
        <v>56</v>
      </c>
      <c r="C76" s="18" t="s">
        <v>1161</v>
      </c>
      <c r="D76" s="18" t="s">
        <v>1162</v>
      </c>
      <c r="E76" s="18" t="s">
        <v>136</v>
      </c>
      <c r="F76" s="18" t="s">
        <v>1163</v>
      </c>
      <c r="G76" s="19" t="s">
        <v>1164</v>
      </c>
      <c r="H76" s="19" t="s">
        <v>853</v>
      </c>
      <c r="I76" s="19" t="s">
        <v>36</v>
      </c>
      <c r="J76" s="19" t="s">
        <v>1165</v>
      </c>
    </row>
    <row r="77" customFormat="false" ht="23.25" hidden="false" customHeight="true" outlineLevel="0" collapsed="false">
      <c r="A77" s="17" t="s">
        <v>1166</v>
      </c>
      <c r="B77" s="17" t="s">
        <v>56</v>
      </c>
      <c r="C77" s="18" t="s">
        <v>1167</v>
      </c>
      <c r="D77" s="18" t="s">
        <v>1162</v>
      </c>
      <c r="E77" s="18" t="s">
        <v>136</v>
      </c>
      <c r="F77" s="18" t="s">
        <v>1168</v>
      </c>
      <c r="G77" s="19" t="s">
        <v>1169</v>
      </c>
      <c r="H77" s="19" t="s">
        <v>873</v>
      </c>
      <c r="I77" s="19" t="s">
        <v>35</v>
      </c>
      <c r="J77" s="19" t="s">
        <v>1170</v>
      </c>
    </row>
    <row r="78" customFormat="false" ht="23.25" hidden="false" customHeight="true" outlineLevel="0" collapsed="false">
      <c r="A78" s="17" t="s">
        <v>1171</v>
      </c>
      <c r="B78" s="17" t="s">
        <v>56</v>
      </c>
      <c r="C78" s="18" t="s">
        <v>1172</v>
      </c>
      <c r="D78" s="18" t="s">
        <v>1162</v>
      </c>
      <c r="E78" s="18" t="s">
        <v>136</v>
      </c>
      <c r="F78" s="18" t="s">
        <v>1173</v>
      </c>
      <c r="G78" s="19" t="s">
        <v>1174</v>
      </c>
      <c r="H78" s="19" t="s">
        <v>873</v>
      </c>
      <c r="I78" s="19" t="s">
        <v>35</v>
      </c>
      <c r="J78" s="19" t="s">
        <v>1170</v>
      </c>
    </row>
    <row r="79" customFormat="false" ht="23.25" hidden="false" customHeight="true" outlineLevel="0" collapsed="false">
      <c r="A79" s="17" t="s">
        <v>1175</v>
      </c>
      <c r="B79" s="17" t="s">
        <v>56</v>
      </c>
      <c r="C79" s="18" t="s">
        <v>1176</v>
      </c>
      <c r="D79" s="18" t="s">
        <v>1162</v>
      </c>
      <c r="E79" s="18" t="s">
        <v>136</v>
      </c>
      <c r="F79" s="18" t="s">
        <v>1177</v>
      </c>
      <c r="G79" s="19" t="s">
        <v>1178</v>
      </c>
      <c r="H79" s="19" t="s">
        <v>853</v>
      </c>
      <c r="I79" s="19" t="s">
        <v>36</v>
      </c>
      <c r="J79" s="19" t="s">
        <v>1179</v>
      </c>
    </row>
    <row r="80" customFormat="false" ht="23.25" hidden="false" customHeight="true" outlineLevel="0" collapsed="false">
      <c r="A80" s="17" t="s">
        <v>1180</v>
      </c>
      <c r="B80" s="17" t="s">
        <v>57</v>
      </c>
      <c r="C80" s="18" t="s">
        <v>1181</v>
      </c>
      <c r="D80" s="18" t="s">
        <v>920</v>
      </c>
      <c r="E80" s="18" t="s">
        <v>146</v>
      </c>
      <c r="F80" s="18" t="s">
        <v>921</v>
      </c>
      <c r="G80" s="19" t="s">
        <v>1182</v>
      </c>
      <c r="H80" s="19" t="s">
        <v>916</v>
      </c>
      <c r="I80" s="19" t="s">
        <v>37</v>
      </c>
      <c r="J80" s="19" t="s">
        <v>1183</v>
      </c>
    </row>
    <row r="81" customFormat="false" ht="23.25" hidden="false" customHeight="true" outlineLevel="0" collapsed="false">
      <c r="A81" s="17" t="s">
        <v>1184</v>
      </c>
      <c r="B81" s="17" t="s">
        <v>57</v>
      </c>
      <c r="C81" s="18" t="s">
        <v>1185</v>
      </c>
      <c r="D81" s="18" t="s">
        <v>1186</v>
      </c>
      <c r="E81" s="18" t="s">
        <v>146</v>
      </c>
      <c r="F81" s="18" t="s">
        <v>1187</v>
      </c>
      <c r="G81" s="19" t="s">
        <v>1188</v>
      </c>
      <c r="H81" s="19" t="s">
        <v>873</v>
      </c>
      <c r="I81" s="19" t="s">
        <v>35</v>
      </c>
      <c r="J81" s="19" t="s">
        <v>1189</v>
      </c>
    </row>
    <row r="82" customFormat="false" ht="23.25" hidden="false" customHeight="true" outlineLevel="0" collapsed="false">
      <c r="A82" s="17" t="s">
        <v>1190</v>
      </c>
      <c r="B82" s="17" t="s">
        <v>57</v>
      </c>
      <c r="C82" s="18" t="s">
        <v>1191</v>
      </c>
      <c r="D82" s="18" t="s">
        <v>1192</v>
      </c>
      <c r="E82" s="18" t="s">
        <v>754</v>
      </c>
      <c r="F82" s="18" t="s">
        <v>1193</v>
      </c>
      <c r="G82" s="19" t="s">
        <v>1194</v>
      </c>
      <c r="H82" s="19" t="s">
        <v>873</v>
      </c>
      <c r="I82" s="19" t="s">
        <v>35</v>
      </c>
      <c r="J82" s="19" t="s">
        <v>1189</v>
      </c>
    </row>
    <row r="83" customFormat="false" ht="23.25" hidden="false" customHeight="true" outlineLevel="0" collapsed="false">
      <c r="A83" s="17" t="s">
        <v>1195</v>
      </c>
      <c r="B83" s="17" t="s">
        <v>57</v>
      </c>
      <c r="C83" s="18" t="s">
        <v>1196</v>
      </c>
      <c r="D83" s="18" t="s">
        <v>958</v>
      </c>
      <c r="E83" s="18" t="s">
        <v>754</v>
      </c>
      <c r="F83" s="18" t="s">
        <v>1197</v>
      </c>
      <c r="G83" s="19" t="s">
        <v>1198</v>
      </c>
      <c r="H83" s="19" t="s">
        <v>853</v>
      </c>
      <c r="I83" s="19" t="s">
        <v>36</v>
      </c>
      <c r="J83" s="19" t="s">
        <v>1199</v>
      </c>
    </row>
    <row r="84" customFormat="false" ht="23.25" hidden="false" customHeight="true" outlineLevel="0" collapsed="false">
      <c r="A84" s="17" t="s">
        <v>1200</v>
      </c>
      <c r="B84" s="17" t="s">
        <v>57</v>
      </c>
      <c r="C84" s="18" t="s">
        <v>1201</v>
      </c>
      <c r="D84" s="18" t="s">
        <v>1202</v>
      </c>
      <c r="E84" s="18" t="s">
        <v>754</v>
      </c>
      <c r="F84" s="18" t="s">
        <v>1203</v>
      </c>
      <c r="G84" s="19" t="s">
        <v>1204</v>
      </c>
      <c r="H84" s="19" t="s">
        <v>853</v>
      </c>
      <c r="I84" s="19" t="s">
        <v>36</v>
      </c>
      <c r="J84" s="19" t="s">
        <v>1205</v>
      </c>
    </row>
    <row r="85" customFormat="false" ht="34.5" hidden="false" customHeight="true" outlineLevel="0" collapsed="false">
      <c r="A85" s="17" t="s">
        <v>1206</v>
      </c>
      <c r="B85" s="17" t="s">
        <v>58</v>
      </c>
      <c r="C85" s="18" t="s">
        <v>1207</v>
      </c>
      <c r="D85" s="18" t="s">
        <v>913</v>
      </c>
      <c r="E85" s="18" t="s">
        <v>268</v>
      </c>
      <c r="F85" s="18" t="s">
        <v>1208</v>
      </c>
      <c r="G85" s="19" t="s">
        <v>1209</v>
      </c>
      <c r="H85" s="19" t="s">
        <v>853</v>
      </c>
      <c r="I85" s="19" t="s">
        <v>36</v>
      </c>
      <c r="J85" s="19" t="s">
        <v>1210</v>
      </c>
    </row>
    <row r="86" customFormat="false" ht="23.25" hidden="false" customHeight="true" outlineLevel="0" collapsed="false">
      <c r="A86" s="17" t="s">
        <v>267</v>
      </c>
      <c r="B86" s="17" t="s">
        <v>58</v>
      </c>
      <c r="C86" s="18" t="s">
        <v>1211</v>
      </c>
      <c r="D86" s="18" t="s">
        <v>1004</v>
      </c>
      <c r="E86" s="18" t="s">
        <v>268</v>
      </c>
      <c r="F86" s="18" t="s">
        <v>1212</v>
      </c>
      <c r="G86" s="19" t="s">
        <v>1213</v>
      </c>
      <c r="H86" s="19" t="s">
        <v>916</v>
      </c>
      <c r="I86" s="19" t="s">
        <v>37</v>
      </c>
      <c r="J86" s="19" t="s">
        <v>1214</v>
      </c>
    </row>
    <row r="87" customFormat="false" ht="23.25" hidden="false" customHeight="true" outlineLevel="0" collapsed="false">
      <c r="A87" s="17" t="s">
        <v>1215</v>
      </c>
      <c r="B87" s="17" t="s">
        <v>58</v>
      </c>
      <c r="C87" s="18" t="s">
        <v>1216</v>
      </c>
      <c r="D87" s="18" t="s">
        <v>857</v>
      </c>
      <c r="E87" s="18" t="s">
        <v>268</v>
      </c>
      <c r="F87" s="18" t="s">
        <v>1217</v>
      </c>
      <c r="G87" s="19" t="s">
        <v>1218</v>
      </c>
      <c r="H87" s="19" t="s">
        <v>873</v>
      </c>
      <c r="I87" s="19" t="s">
        <v>35</v>
      </c>
      <c r="J87" s="19" t="s">
        <v>1106</v>
      </c>
    </row>
    <row r="88" customFormat="false" ht="23.25" hidden="false" customHeight="true" outlineLevel="0" collapsed="false">
      <c r="A88" s="17" t="s">
        <v>610</v>
      </c>
      <c r="B88" s="17" t="s">
        <v>59</v>
      </c>
      <c r="C88" s="18" t="s">
        <v>1219</v>
      </c>
      <c r="D88" s="18" t="s">
        <v>1220</v>
      </c>
      <c r="E88" s="18" t="s">
        <v>238</v>
      </c>
      <c r="F88" s="18" t="s">
        <v>1221</v>
      </c>
      <c r="G88" s="19" t="s">
        <v>1222</v>
      </c>
      <c r="H88" s="19" t="s">
        <v>873</v>
      </c>
      <c r="I88" s="19" t="s">
        <v>35</v>
      </c>
      <c r="J88" s="19" t="s">
        <v>1223</v>
      </c>
    </row>
    <row r="89" customFormat="false" ht="23.25" hidden="false" customHeight="true" outlineLevel="0" collapsed="false">
      <c r="A89" s="17" t="s">
        <v>1224</v>
      </c>
      <c r="B89" s="17" t="s">
        <v>59</v>
      </c>
      <c r="C89" s="18" t="s">
        <v>1225</v>
      </c>
      <c r="D89" s="18" t="s">
        <v>1220</v>
      </c>
      <c r="E89" s="18" t="s">
        <v>238</v>
      </c>
      <c r="F89" s="18" t="s">
        <v>1226</v>
      </c>
      <c r="G89" s="19" t="s">
        <v>1227</v>
      </c>
      <c r="H89" s="19" t="s">
        <v>853</v>
      </c>
      <c r="I89" s="19" t="s">
        <v>36</v>
      </c>
      <c r="J89" s="19" t="s">
        <v>1228</v>
      </c>
    </row>
    <row r="90" customFormat="false" ht="23.25" hidden="false" customHeight="true" outlineLevel="0" collapsed="false">
      <c r="A90" s="17" t="s">
        <v>1229</v>
      </c>
      <c r="B90" s="17" t="s">
        <v>59</v>
      </c>
      <c r="C90" s="18" t="s">
        <v>1230</v>
      </c>
      <c r="D90" s="18" t="s">
        <v>1220</v>
      </c>
      <c r="E90" s="18" t="s">
        <v>238</v>
      </c>
      <c r="F90" s="18" t="s">
        <v>1231</v>
      </c>
      <c r="G90" s="19" t="s">
        <v>1232</v>
      </c>
      <c r="H90" s="19" t="s">
        <v>853</v>
      </c>
      <c r="I90" s="19" t="s">
        <v>36</v>
      </c>
      <c r="J90" s="19" t="s">
        <v>1233</v>
      </c>
    </row>
    <row r="91" customFormat="false" ht="34.5" hidden="false" customHeight="true" outlineLevel="0" collapsed="false">
      <c r="A91" s="17" t="s">
        <v>1234</v>
      </c>
      <c r="B91" s="17" t="s">
        <v>60</v>
      </c>
      <c r="C91" s="18" t="s">
        <v>1235</v>
      </c>
      <c r="D91" s="18" t="s">
        <v>857</v>
      </c>
      <c r="E91" s="18" t="s">
        <v>823</v>
      </c>
      <c r="F91" s="18" t="s">
        <v>1236</v>
      </c>
      <c r="G91" s="19" t="s">
        <v>1237</v>
      </c>
      <c r="H91" s="19" t="s">
        <v>853</v>
      </c>
      <c r="I91" s="19" t="s">
        <v>36</v>
      </c>
      <c r="J91" s="19" t="s">
        <v>1238</v>
      </c>
    </row>
    <row r="92" customFormat="false" ht="23.25" hidden="false" customHeight="true" outlineLevel="0" collapsed="false">
      <c r="A92" s="17" t="s">
        <v>1239</v>
      </c>
      <c r="B92" s="17" t="s">
        <v>60</v>
      </c>
      <c r="C92" s="18" t="s">
        <v>1240</v>
      </c>
      <c r="D92" s="18" t="s">
        <v>857</v>
      </c>
      <c r="E92" s="18" t="s">
        <v>823</v>
      </c>
      <c r="F92" s="18" t="s">
        <v>1241</v>
      </c>
      <c r="G92" s="19" t="s">
        <v>1242</v>
      </c>
      <c r="H92" s="19" t="s">
        <v>853</v>
      </c>
      <c r="I92" s="19" t="s">
        <v>36</v>
      </c>
      <c r="J92" s="19" t="s">
        <v>1243</v>
      </c>
    </row>
    <row r="93" customFormat="false" ht="23.25" hidden="false" customHeight="true" outlineLevel="0" collapsed="false">
      <c r="A93" s="17" t="s">
        <v>1244</v>
      </c>
      <c r="B93" s="17" t="s">
        <v>60</v>
      </c>
      <c r="C93" s="18" t="s">
        <v>1245</v>
      </c>
      <c r="D93" s="18" t="s">
        <v>857</v>
      </c>
      <c r="E93" s="18" t="s">
        <v>823</v>
      </c>
      <c r="F93" s="18" t="s">
        <v>1246</v>
      </c>
      <c r="G93" s="19" t="s">
        <v>1247</v>
      </c>
      <c r="H93" s="19" t="s">
        <v>873</v>
      </c>
      <c r="I93" s="19" t="s">
        <v>35</v>
      </c>
      <c r="J93" s="19" t="s">
        <v>1248</v>
      </c>
    </row>
  </sheetData>
  <conditionalFormatting sqref="I7:I93">
    <cfRule type="cellIs" priority="2" operator="equal" aboveAverage="0" equalAverage="0" bottom="0" percent="0" rank="0" text="" dxfId="4">
      <formula>"Gap"</formula>
    </cfRule>
    <cfRule type="cellIs" priority="3" operator="equal" aboveAverage="0" equalAverage="0" bottom="0" percent="0" rank="0" text="" dxfId="5">
      <formula>"Partial"</formula>
    </cfRule>
    <cfRule type="cellIs" priority="4" operator="equal" aboveAverage="0" equalAverage="0" bottom="0" percent="0" rank="0" text="" dxfId="6">
      <formula>"Satisfactory"</formula>
    </cfRule>
  </conditionalFormatting>
  <dataValidations count="2">
    <dataValidation allowBlank="true" errorStyle="stop" operator="between" showDropDown="false" showErrorMessage="false" showInputMessage="false" sqref="H7:H93" type="list">
      <formula1>"Not requested,Requested,Received,Accepted,Rejected"</formula1>
      <formula2>0</formula2>
    </dataValidation>
    <dataValidation allowBlank="true" errorStyle="stop" operator="between" showDropDown="false" showErrorMessage="false" showInputMessage="false" sqref="I7:I93" type="list">
      <formula1>"Satisfactory,Partial,Gap,Not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4"/>
    <col collapsed="false" customWidth="true" hidden="false" outlineLevel="0" max="3" min="3" style="1" width="56"/>
    <col collapsed="false" customWidth="true" hidden="false" outlineLevel="0" max="4" min="4" style="1" width="28"/>
    <col collapsed="false" customWidth="true" hidden="false" outlineLevel="0" max="5" min="5" style="1" width="24"/>
    <col collapsed="false" customWidth="true" hidden="false" outlineLevel="0" max="6" min="6" style="1" width="28"/>
    <col collapsed="false" customWidth="true" hidden="false" outlineLevel="0" max="7" min="7" style="1" width="24"/>
    <col collapsed="false" customWidth="true" hidden="false" outlineLevel="0" max="8" min="8" style="1" width="26"/>
  </cols>
  <sheetData>
    <row r="1" customFormat="false" ht="17.25" hidden="false" customHeight="true" outlineLevel="0" collapsed="false">
      <c r="A1" s="7" t="s">
        <v>1249</v>
      </c>
    </row>
    <row r="2" customFormat="false" ht="15" hidden="false" customHeight="true" outlineLevel="0" collapsed="false">
      <c r="A2" s="8" t="s">
        <v>1250</v>
      </c>
    </row>
    <row r="4" customFormat="false" ht="15" hidden="false" customHeight="true" outlineLevel="0" collapsed="false">
      <c r="A4" s="9" t="s">
        <v>841</v>
      </c>
      <c r="B4" s="9" t="s">
        <v>33</v>
      </c>
      <c r="C4" s="9" t="s">
        <v>842</v>
      </c>
      <c r="D4" s="9" t="s">
        <v>1251</v>
      </c>
      <c r="E4" s="9" t="s">
        <v>1252</v>
      </c>
      <c r="F4" s="9" t="s">
        <v>1253</v>
      </c>
      <c r="G4" s="9" t="s">
        <v>620</v>
      </c>
      <c r="H4" s="9" t="s">
        <v>1254</v>
      </c>
    </row>
    <row r="5" customFormat="false" ht="23.25" hidden="false" customHeight="true" outlineLevel="0" collapsed="false">
      <c r="A5" s="17" t="str">
        <f aca="false">Questionnaire!A7</f>
        <v>A1</v>
      </c>
      <c r="B5" s="17" t="str">
        <f aca="false">Questionnaire!B7</f>
        <v>Scope and service model</v>
      </c>
      <c r="C5" s="18" t="str">
        <f aca="false">Questionnaire!C7</f>
        <v>Is the service multi-tenant SaaS, single-tenant cloud, or self-hosted? Which edition and version are we buying?</v>
      </c>
      <c r="D5" s="18" t="s">
        <v>1255</v>
      </c>
      <c r="E5" s="18" t="s">
        <v>1256</v>
      </c>
      <c r="F5" s="18" t="s">
        <v>1257</v>
      </c>
      <c r="G5" s="18" t="s">
        <v>1258</v>
      </c>
      <c r="H5" s="18"/>
    </row>
    <row r="6" customFormat="false" ht="23.25" hidden="false" customHeight="true" outlineLevel="0" collapsed="false">
      <c r="A6" s="17" t="str">
        <f aca="false">Questionnaire!A8</f>
        <v>A2</v>
      </c>
      <c r="B6" s="17" t="str">
        <f aca="false">Questionnaire!B8</f>
        <v>Scope and service model</v>
      </c>
      <c r="C6" s="18" t="str">
        <f aca="false">Questionnaire!C8</f>
        <v>Which data categories will the service store or process (employee data, passport/ID numbers, financial data)?</v>
      </c>
      <c r="D6" s="18" t="s">
        <v>1259</v>
      </c>
      <c r="E6" s="18" t="s">
        <v>1256</v>
      </c>
      <c r="F6" s="18" t="s">
        <v>1260</v>
      </c>
      <c r="G6" s="18" t="s">
        <v>1261</v>
      </c>
      <c r="H6" s="18"/>
    </row>
    <row r="7" customFormat="false" ht="23.25" hidden="false" customHeight="true" outlineLevel="0" collapsed="false">
      <c r="A7" s="17" t="str">
        <f aca="false">Questionnaire!A9</f>
        <v>A3</v>
      </c>
      <c r="B7" s="17" t="str">
        <f aca="false">Questionnaire!B9</f>
        <v>Scope and service model</v>
      </c>
      <c r="C7" s="18" t="str">
        <f aca="false">Questionnaire!C9</f>
        <v>Which of our systems does the service connect to, and which side initiates each connection?</v>
      </c>
      <c r="D7" s="18" t="s">
        <v>1259</v>
      </c>
      <c r="E7" s="18" t="s">
        <v>1256</v>
      </c>
      <c r="F7" s="18" t="s">
        <v>696</v>
      </c>
      <c r="G7" s="18" t="s">
        <v>822</v>
      </c>
      <c r="H7" s="18"/>
    </row>
    <row r="8" customFormat="false" ht="23.25" hidden="false" customHeight="true" outlineLevel="0" collapsed="false">
      <c r="A8" s="17" t="str">
        <f aca="false">Questionnaire!A10</f>
        <v>B1</v>
      </c>
      <c r="B8" s="17" t="str">
        <f aca="false">Questionnaire!B10</f>
        <v>Identity and sign-on</v>
      </c>
      <c r="C8" s="18" t="str">
        <f aca="false">Questionnaire!C10</f>
        <v>Does the service support SAML 2.0 or OIDC with our IdP, and is SSO enforced for all users?</v>
      </c>
      <c r="D8" s="18" t="s">
        <v>627</v>
      </c>
      <c r="E8" s="18" t="s">
        <v>1256</v>
      </c>
      <c r="F8" s="18" t="s">
        <v>628</v>
      </c>
      <c r="G8" s="18" t="s">
        <v>1262</v>
      </c>
      <c r="H8" s="18"/>
    </row>
    <row r="9" customFormat="false" ht="23.25" hidden="false" customHeight="true" outlineLevel="0" collapsed="false">
      <c r="A9" s="17" t="str">
        <f aca="false">Questionnaire!A11</f>
        <v>B2</v>
      </c>
      <c r="B9" s="17" t="str">
        <f aca="false">Questionnaire!B11</f>
        <v>Identity and sign-on</v>
      </c>
      <c r="C9" s="18" t="str">
        <f aca="false">Questionnaire!C11</f>
        <v>Can local username/password login be disabled for every user, including administrators? Which break-glass accounts exist?</v>
      </c>
      <c r="D9" s="18" t="s">
        <v>627</v>
      </c>
      <c r="E9" s="18" t="s">
        <v>1256</v>
      </c>
      <c r="F9" s="18" t="s">
        <v>628</v>
      </c>
      <c r="G9" s="18" t="s">
        <v>1263</v>
      </c>
      <c r="H9" s="18"/>
    </row>
    <row r="10" customFormat="false" ht="23.25" hidden="false" customHeight="true" outlineLevel="0" collapsed="false">
      <c r="A10" s="17" t="str">
        <f aca="false">Questionnaire!A12</f>
        <v>B3</v>
      </c>
      <c r="B10" s="17" t="str">
        <f aca="false">Questionnaire!B12</f>
        <v>Identity and sign-on</v>
      </c>
      <c r="C10" s="18" t="str">
        <f aca="false">Questionnaire!C12</f>
        <v>Is MFA enforced at the IdP for every login, and how can we verify it from the service side?</v>
      </c>
      <c r="D10" s="18" t="s">
        <v>627</v>
      </c>
      <c r="E10" s="18" t="s">
        <v>1256</v>
      </c>
      <c r="F10" s="18" t="s">
        <v>628</v>
      </c>
      <c r="G10" s="18" t="s">
        <v>1264</v>
      </c>
      <c r="H10" s="18"/>
    </row>
    <row r="11" customFormat="false" ht="23.25" hidden="false" customHeight="true" outlineLevel="0" collapsed="false">
      <c r="A11" s="17" t="str">
        <f aca="false">Questionnaire!A13</f>
        <v>B4</v>
      </c>
      <c r="B11" s="17" t="str">
        <f aca="false">Questionnaire!B13</f>
        <v>Identity and sign-on</v>
      </c>
      <c r="C11" s="18" t="str">
        <f aca="false">Questionnaire!C13</f>
        <v>What session timeout, re-authentication and device or network restrictions apply?</v>
      </c>
      <c r="D11" s="18" t="s">
        <v>627</v>
      </c>
      <c r="E11" s="18" t="s">
        <v>1256</v>
      </c>
      <c r="F11" s="18" t="s">
        <v>628</v>
      </c>
      <c r="G11" s="18" t="s">
        <v>1265</v>
      </c>
      <c r="H11" s="18"/>
    </row>
    <row r="12" customFormat="false" ht="23.25" hidden="false" customHeight="true" outlineLevel="0" collapsed="false">
      <c r="A12" s="17" t="str">
        <f aca="false">Questionnaire!A14</f>
        <v>C1</v>
      </c>
      <c r="B12" s="17" t="str">
        <f aca="false">Questionnaire!B14</f>
        <v>Provisioning and leavers</v>
      </c>
      <c r="C12" s="18" t="str">
        <f aca="false">Questionnaire!C14</f>
        <v>How are accounts created (SCIM, API, manual, self-signup)? Is self-signup disabled?</v>
      </c>
      <c r="D12" s="18" t="s">
        <v>627</v>
      </c>
      <c r="E12" s="18" t="s">
        <v>1256</v>
      </c>
      <c r="F12" s="18" t="s">
        <v>628</v>
      </c>
      <c r="G12" s="18" t="s">
        <v>1266</v>
      </c>
      <c r="H12" s="18"/>
    </row>
    <row r="13" customFormat="false" ht="23.25" hidden="false" customHeight="true" outlineLevel="0" collapsed="false">
      <c r="A13" s="17" t="str">
        <f aca="false">Questionnaire!A15</f>
        <v>C2</v>
      </c>
      <c r="B13" s="17" t="str">
        <f aca="false">Questionnaire!B15</f>
        <v>Provisioning and leavers</v>
      </c>
      <c r="C13" s="18" t="str">
        <f aca="false">Questionnaire!C15</f>
        <v>When the HRIS or IdP marks a user inactive, how quickly is access removed in the service?</v>
      </c>
      <c r="D13" s="18" t="s">
        <v>627</v>
      </c>
      <c r="E13" s="18" t="s">
        <v>1256</v>
      </c>
      <c r="F13" s="18" t="s">
        <v>628</v>
      </c>
      <c r="G13" s="18" t="s">
        <v>1267</v>
      </c>
      <c r="H13" s="18"/>
    </row>
    <row r="14" customFormat="false" ht="23.25" hidden="false" customHeight="true" outlineLevel="0" collapsed="false">
      <c r="A14" s="17" t="str">
        <f aca="false">Questionnaire!A16</f>
        <v>C3</v>
      </c>
      <c r="B14" s="17" t="str">
        <f aca="false">Questionnaire!B16</f>
        <v>Provisioning and leavers</v>
      </c>
      <c r="C14" s="18" t="str">
        <f aca="false">Questionnaire!C16</f>
        <v>How are role changes (movers) reflected in groups, roles and entitlements?</v>
      </c>
      <c r="D14" s="18" t="s">
        <v>627</v>
      </c>
      <c r="E14" s="18" t="s">
        <v>1256</v>
      </c>
      <c r="F14" s="18" t="s">
        <v>628</v>
      </c>
      <c r="G14" s="18" t="s">
        <v>1268</v>
      </c>
      <c r="H14" s="18"/>
    </row>
    <row r="15" customFormat="false" ht="23.25" hidden="false" customHeight="true" outlineLevel="0" collapsed="false">
      <c r="A15" s="17" t="str">
        <f aca="false">Questionnaire!A17</f>
        <v>C4</v>
      </c>
      <c r="B15" s="17" t="str">
        <f aca="false">Questionnaire!B17</f>
        <v>Provisioning and leavers</v>
      </c>
      <c r="C15" s="18" t="str">
        <f aca="false">Questionnaire!C17</f>
        <v>How are seats assigned and reclaimed, and are dormant accounts reported?</v>
      </c>
      <c r="D15" s="18" t="s">
        <v>627</v>
      </c>
      <c r="E15" s="18" t="s">
        <v>1256</v>
      </c>
      <c r="F15" s="18" t="s">
        <v>696</v>
      </c>
      <c r="G15" s="18" t="s">
        <v>1268</v>
      </c>
      <c r="H15" s="18"/>
    </row>
    <row r="16" customFormat="false" ht="23.25" hidden="false" customHeight="true" outlineLevel="0" collapsed="false">
      <c r="A16" s="17" t="str">
        <f aca="false">Questionnaire!A18</f>
        <v>C5</v>
      </c>
      <c r="B16" s="17" t="str">
        <f aca="false">Questionnaire!B18</f>
        <v>Provisioning and leavers</v>
      </c>
      <c r="C16" s="18" t="str">
        <f aca="false">Questionnaire!C18</f>
        <v>How often are user access reviews performed, and who signs them off?</v>
      </c>
      <c r="D16" s="18" t="s">
        <v>627</v>
      </c>
      <c r="E16" s="18" t="s">
        <v>1256</v>
      </c>
      <c r="F16" s="18" t="s">
        <v>628</v>
      </c>
      <c r="G16" s="18" t="s">
        <v>1268</v>
      </c>
      <c r="H16" s="18"/>
    </row>
    <row r="17" customFormat="false" ht="23.25" hidden="false" customHeight="true" outlineLevel="0" collapsed="false">
      <c r="A17" s="17" t="str">
        <f aca="false">Questionnaire!A19</f>
        <v>D1</v>
      </c>
      <c r="B17" s="17" t="str">
        <f aca="false">Questionnaire!B19</f>
        <v>Administration and access</v>
      </c>
      <c r="C17" s="18" t="str">
        <f aca="false">Questionnaire!C19</f>
        <v>Who holds administrator rights on the vendor side and on our side? Are admin accounts separate, MFA-protected and logged?</v>
      </c>
      <c r="D17" s="18" t="s">
        <v>627</v>
      </c>
      <c r="E17" s="18" t="s">
        <v>1256</v>
      </c>
      <c r="F17" s="18" t="s">
        <v>628</v>
      </c>
      <c r="G17" s="18" t="s">
        <v>1269</v>
      </c>
      <c r="H17" s="18"/>
    </row>
    <row r="18" customFormat="false" ht="23.25" hidden="false" customHeight="true" outlineLevel="0" collapsed="false">
      <c r="A18" s="17" t="str">
        <f aca="false">Questionnaire!A20</f>
        <v>D2</v>
      </c>
      <c r="B18" s="17" t="str">
        <f aca="false">Questionnaire!B20</f>
        <v>Administration and access</v>
      </c>
      <c r="C18" s="18" t="str">
        <f aca="false">Questionnaire!C20</f>
        <v>Can vendor support staff access our data? Under what approval, time limit and logging?</v>
      </c>
      <c r="D18" s="18" t="s">
        <v>627</v>
      </c>
      <c r="E18" s="18" t="s">
        <v>1256</v>
      </c>
      <c r="F18" s="18" t="s">
        <v>684</v>
      </c>
      <c r="G18" s="18" t="s">
        <v>1270</v>
      </c>
      <c r="H18" s="18"/>
    </row>
    <row r="19" customFormat="false" ht="23.25" hidden="false" customHeight="true" outlineLevel="0" collapsed="false">
      <c r="A19" s="17" t="str">
        <f aca="false">Questionnaire!A21</f>
        <v>D3</v>
      </c>
      <c r="B19" s="17" t="str">
        <f aca="false">Questionnaire!B21</f>
        <v>Administration and access</v>
      </c>
      <c r="C19" s="18" t="str">
        <f aca="false">Questionnaire!C21</f>
        <v>Can entitlement rules (grade-based travel rules) be changed only by authorized admins, and are changes logged?</v>
      </c>
      <c r="D19" s="18" t="s">
        <v>627</v>
      </c>
      <c r="E19" s="18" t="s">
        <v>1256</v>
      </c>
      <c r="F19" s="18" t="s">
        <v>628</v>
      </c>
      <c r="G19" s="18" t="s">
        <v>752</v>
      </c>
      <c r="H19" s="18"/>
    </row>
    <row r="20" customFormat="false" ht="34.5" hidden="false" customHeight="true" outlineLevel="0" collapsed="false">
      <c r="A20" s="17" t="str">
        <f aca="false">Questionnaire!A22</f>
        <v>D4</v>
      </c>
      <c r="B20" s="17" t="str">
        <f aca="false">Questionnaire!B22</f>
        <v>Administration and access</v>
      </c>
      <c r="C20" s="18" t="str">
        <f aca="false">Questionnaire!C22</f>
        <v>Is vendor support access to production data from outside the EU (for example from India) restricted, time-limited and approved case by case?</v>
      </c>
      <c r="D20" s="18" t="s">
        <v>627</v>
      </c>
      <c r="E20" s="18" t="s">
        <v>1256</v>
      </c>
      <c r="F20" s="18" t="s">
        <v>1271</v>
      </c>
      <c r="G20" s="18" t="s">
        <v>685</v>
      </c>
      <c r="H20" s="18"/>
    </row>
    <row r="21" customFormat="false" ht="23.25" hidden="false" customHeight="true" outlineLevel="0" collapsed="false">
      <c r="A21" s="17" t="str">
        <f aca="false">Questionnaire!A23</f>
        <v>D5</v>
      </c>
      <c r="B21" s="17" t="str">
        <f aca="false">Questionnaire!B23</f>
        <v>Administration and access</v>
      </c>
      <c r="C21" s="18" t="str">
        <f aca="false">Questionnaire!C23</f>
        <v>How is visibility of executive and VIP itineraries restricted, including for vendor staff and for bank booker accounts?</v>
      </c>
      <c r="D21" s="18" t="s">
        <v>627</v>
      </c>
      <c r="E21" s="18" t="s">
        <v>1256</v>
      </c>
      <c r="F21" s="18" t="s">
        <v>628</v>
      </c>
      <c r="G21" s="18" t="s">
        <v>690</v>
      </c>
      <c r="H21" s="18"/>
    </row>
    <row r="22" customFormat="false" ht="23.25" hidden="false" customHeight="true" outlineLevel="0" collapsed="false">
      <c r="A22" s="17" t="str">
        <f aca="false">Questionnaire!A24</f>
        <v>E1</v>
      </c>
      <c r="B22" s="17" t="str">
        <f aca="false">Questionnaire!B24</f>
        <v>HR data sync</v>
      </c>
      <c r="C22" s="18" t="str">
        <f aca="false">Questionnaire!C24</f>
        <v>Which employee fields are received, and are they limited to the minimum needed?</v>
      </c>
      <c r="D22" s="18" t="s">
        <v>1272</v>
      </c>
      <c r="E22" s="18" t="s">
        <v>1256</v>
      </c>
      <c r="F22" s="18" t="s">
        <v>1273</v>
      </c>
      <c r="G22" s="18" t="s">
        <v>1274</v>
      </c>
      <c r="H22" s="18"/>
    </row>
    <row r="23" customFormat="false" ht="23.25" hidden="false" customHeight="true" outlineLevel="0" collapsed="false">
      <c r="A23" s="17" t="str">
        <f aca="false">Questionnaire!A25</f>
        <v>E2</v>
      </c>
      <c r="B23" s="17" t="str">
        <f aca="false">Questionnaire!B25</f>
        <v>HR data sync</v>
      </c>
      <c r="C23" s="18" t="str">
        <f aca="false">Questionnaire!C25</f>
        <v>What method (REST, webhook, SFTP) and direction is used, and who initiates the connection?</v>
      </c>
      <c r="D23" s="18" t="s">
        <v>1275</v>
      </c>
      <c r="E23" s="18" t="s">
        <v>1256</v>
      </c>
      <c r="F23" s="18" t="s">
        <v>628</v>
      </c>
      <c r="G23" s="18" t="s">
        <v>1276</v>
      </c>
      <c r="H23" s="18"/>
    </row>
    <row r="24" customFormat="false" ht="23.25" hidden="false" customHeight="true" outlineLevel="0" collapsed="false">
      <c r="A24" s="17" t="str">
        <f aca="false">Questionnaire!A26</f>
        <v>E3</v>
      </c>
      <c r="B24" s="17" t="str">
        <f aca="false">Questionnaire!B26</f>
        <v>HR data sync</v>
      </c>
      <c r="C24" s="18" t="str">
        <f aca="false">Questionnaire!C26</f>
        <v>How are credentials (API tokens, SFTP keys) stored, scoped and rotated?</v>
      </c>
      <c r="D24" s="18" t="s">
        <v>627</v>
      </c>
      <c r="E24" s="18" t="s">
        <v>1256</v>
      </c>
      <c r="F24" s="18" t="s">
        <v>628</v>
      </c>
      <c r="G24" s="18" t="s">
        <v>713</v>
      </c>
      <c r="H24" s="18"/>
    </row>
    <row r="25" customFormat="false" ht="23.25" hidden="false" customHeight="true" outlineLevel="0" collapsed="false">
      <c r="A25" s="17" t="str">
        <f aca="false">Questionnaire!A27</f>
        <v>E4</v>
      </c>
      <c r="B25" s="17" t="str">
        <f aca="false">Questionnaire!B27</f>
        <v>HR data sync</v>
      </c>
      <c r="C25" s="18" t="str">
        <f aca="false">Questionnaire!C27</f>
        <v>What happens when a sync fails or sends bad data (alerting, retry, reconciliation)?</v>
      </c>
      <c r="D25" s="18" t="s">
        <v>1277</v>
      </c>
      <c r="E25" s="18" t="s">
        <v>1256</v>
      </c>
      <c r="F25" s="18" t="s">
        <v>696</v>
      </c>
      <c r="G25" s="18" t="s">
        <v>1278</v>
      </c>
      <c r="H25" s="18"/>
    </row>
    <row r="26" customFormat="false" ht="15" hidden="false" customHeight="true" outlineLevel="0" collapsed="false">
      <c r="A26" s="17" t="str">
        <f aca="false">Questionnaire!A28</f>
        <v>F1</v>
      </c>
      <c r="B26" s="17" t="str">
        <f aca="false">Questionnaire!B28</f>
        <v>Approvals and policy</v>
      </c>
      <c r="C26" s="18" t="str">
        <f aca="false">Questionnaire!C28</f>
        <v>How are policy rules defined, approved and version-controlled?</v>
      </c>
      <c r="D26" s="18" t="s">
        <v>627</v>
      </c>
      <c r="E26" s="18" t="s">
        <v>1256</v>
      </c>
      <c r="F26" s="18" t="s">
        <v>696</v>
      </c>
      <c r="G26" s="18" t="s">
        <v>1279</v>
      </c>
      <c r="H26" s="18"/>
    </row>
    <row r="27" customFormat="false" ht="23.25" hidden="false" customHeight="true" outlineLevel="0" collapsed="false">
      <c r="A27" s="17" t="str">
        <f aca="false">Questionnaire!A29</f>
        <v>F2</v>
      </c>
      <c r="B27" s="17" t="str">
        <f aca="false">Questionnaire!B29</f>
        <v>Approvals and policy</v>
      </c>
      <c r="C27" s="18" t="str">
        <f aca="false">Questionnaire!C29</f>
        <v>How is an approval request authenticated so it cannot be forged or replayed?</v>
      </c>
      <c r="D27" s="18" t="s">
        <v>627</v>
      </c>
      <c r="E27" s="18" t="s">
        <v>1256</v>
      </c>
      <c r="F27" s="18" t="s">
        <v>628</v>
      </c>
      <c r="G27" s="18" t="s">
        <v>1280</v>
      </c>
      <c r="H27" s="18"/>
    </row>
    <row r="28" customFormat="false" ht="23.25" hidden="false" customHeight="true" outlineLevel="0" collapsed="false">
      <c r="A28" s="17" t="str">
        <f aca="false">Questionnaire!A30</f>
        <v>F3</v>
      </c>
      <c r="B28" s="17" t="str">
        <f aca="false">Questionnaire!B30</f>
        <v>Approvals and policy</v>
      </c>
      <c r="C28" s="18" t="str">
        <f aca="false">Questionnaire!C30</f>
        <v>Is segregation of duties enforced (a requester cannot approve their own booking)?</v>
      </c>
      <c r="D28" s="18" t="s">
        <v>627</v>
      </c>
      <c r="E28" s="18" t="s">
        <v>1256</v>
      </c>
      <c r="F28" s="18" t="s">
        <v>696</v>
      </c>
      <c r="G28" s="18" t="s">
        <v>1281</v>
      </c>
      <c r="H28" s="18"/>
    </row>
    <row r="29" customFormat="false" ht="34.5" hidden="false" customHeight="true" outlineLevel="0" collapsed="false">
      <c r="A29" s="17" t="str">
        <f aca="false">Questionnaire!A31</f>
        <v>F4</v>
      </c>
      <c r="B29" s="17" t="str">
        <f aca="false">Questionnaire!B31</f>
        <v>Approvals and policy</v>
      </c>
      <c r="C29" s="18" t="str">
        <f aca="false">Questionnaire!C31</f>
        <v>How does the platform stop users who are not authorised bookers from creating bookings, and how is the sponsor's approval enforced for guest travel?</v>
      </c>
      <c r="D29" s="18" t="s">
        <v>627</v>
      </c>
      <c r="E29" s="18" t="s">
        <v>1256</v>
      </c>
      <c r="F29" s="18" t="s">
        <v>696</v>
      </c>
      <c r="G29" s="18" t="s">
        <v>760</v>
      </c>
      <c r="H29" s="18"/>
    </row>
    <row r="30" customFormat="false" ht="23.25" hidden="false" customHeight="true" outlineLevel="0" collapsed="false">
      <c r="A30" s="17" t="str">
        <f aca="false">Questionnaire!A32</f>
        <v>G1</v>
      </c>
      <c r="B30" s="17" t="str">
        <f aca="false">Questionnaire!B32</f>
        <v>Financial sync</v>
      </c>
      <c r="C30" s="18" t="str">
        <f aca="false">Questionnaire!C32</f>
        <v>What financial data is sent to our ERP, and does the vendor have only write access to a staging area?</v>
      </c>
      <c r="D30" s="18" t="s">
        <v>1282</v>
      </c>
      <c r="E30" s="18" t="s">
        <v>1256</v>
      </c>
      <c r="F30" s="18" t="s">
        <v>628</v>
      </c>
      <c r="G30" s="18" t="s">
        <v>1283</v>
      </c>
      <c r="H30" s="18"/>
    </row>
    <row r="31" customFormat="false" ht="23.25" hidden="false" customHeight="true" outlineLevel="0" collapsed="false">
      <c r="A31" s="17" t="str">
        <f aca="false">Questionnaire!A33</f>
        <v>G2</v>
      </c>
      <c r="B31" s="17" t="str">
        <f aca="false">Questionnaire!B33</f>
        <v>Financial sync</v>
      </c>
      <c r="C31" s="18" t="str">
        <f aca="false">Questionnaire!C33</f>
        <v>How are completeness and integrity checked (reconciliation, duplicate detection)?</v>
      </c>
      <c r="D31" s="18" t="s">
        <v>1282</v>
      </c>
      <c r="E31" s="18" t="s">
        <v>1256</v>
      </c>
      <c r="F31" s="18" t="s">
        <v>696</v>
      </c>
      <c r="G31" s="18" t="s">
        <v>1280</v>
      </c>
      <c r="H31" s="18"/>
    </row>
    <row r="32" customFormat="false" ht="23.25" hidden="false" customHeight="true" outlineLevel="0" collapsed="false">
      <c r="A32" s="17" t="str">
        <f aca="false">Questionnaire!A34</f>
        <v>G3</v>
      </c>
      <c r="B32" s="17" t="str">
        <f aca="false">Questionnaire!B34</f>
        <v>Financial sync</v>
      </c>
      <c r="C32" s="18" t="str">
        <f aca="false">Questionnaire!C34</f>
        <v>How are payment details and supplier data protected against tampering?</v>
      </c>
      <c r="D32" s="18" t="s">
        <v>627</v>
      </c>
      <c r="E32" s="18" t="s">
        <v>1256</v>
      </c>
      <c r="F32" s="18" t="s">
        <v>696</v>
      </c>
      <c r="G32" s="18" t="s">
        <v>1284</v>
      </c>
      <c r="H32" s="18"/>
    </row>
    <row r="33" customFormat="false" ht="23.25" hidden="false" customHeight="true" outlineLevel="0" collapsed="false">
      <c r="A33" s="17" t="str">
        <f aca="false">Questionnaire!A35</f>
        <v>G4</v>
      </c>
      <c r="B33" s="17" t="str">
        <f aca="false">Questionnaire!B35</f>
        <v>Financial sync</v>
      </c>
      <c r="C33" s="18" t="str">
        <f aca="false">Questionnaire!C35</f>
        <v>How are invoices sent to our ERP authenticated and protected against tampering (for example signing or mutual TLS)?</v>
      </c>
      <c r="D33" s="18" t="s">
        <v>627</v>
      </c>
      <c r="E33" s="18" t="s">
        <v>1256</v>
      </c>
      <c r="F33" s="18" t="s">
        <v>696</v>
      </c>
      <c r="G33" s="18" t="s">
        <v>1285</v>
      </c>
      <c r="H33" s="18"/>
    </row>
    <row r="34" customFormat="false" ht="23.25" hidden="false" customHeight="true" outlineLevel="0" collapsed="false">
      <c r="A34" s="17" t="str">
        <f aca="false">Questionnaire!A36</f>
        <v>G5</v>
      </c>
      <c r="B34" s="17" t="str">
        <f aca="false">Questionnaire!B36</f>
        <v>Financial sync</v>
      </c>
      <c r="C34" s="18" t="str">
        <f aca="false">Questionnaire!C36</f>
        <v>How does the vendor detect duplicate or altered invoices before they reach us, and how are changes to its bank details verified with us?</v>
      </c>
      <c r="D34" s="18" t="s">
        <v>627</v>
      </c>
      <c r="E34" s="18" t="s">
        <v>1256</v>
      </c>
      <c r="F34" s="18" t="s">
        <v>696</v>
      </c>
      <c r="G34" s="18" t="s">
        <v>1284</v>
      </c>
      <c r="H34" s="18"/>
    </row>
    <row r="35" customFormat="false" ht="23.25" hidden="false" customHeight="true" outlineLevel="0" collapsed="false">
      <c r="A35" s="17" t="str">
        <f aca="false">Questionnaire!A37</f>
        <v>H1</v>
      </c>
      <c r="B35" s="17" t="str">
        <f aca="false">Questionnaire!B37</f>
        <v>Network and gateway</v>
      </c>
      <c r="C35" s="18" t="str">
        <f aca="false">Questionnaire!C37</f>
        <v>Which IP ranges and domains does the vendor use, and how are changes announced so we can allow-list them?</v>
      </c>
      <c r="D35" s="18" t="s">
        <v>627</v>
      </c>
      <c r="E35" s="18" t="s">
        <v>1256</v>
      </c>
      <c r="F35" s="18" t="s">
        <v>628</v>
      </c>
      <c r="G35" s="18" t="s">
        <v>629</v>
      </c>
      <c r="H35" s="18"/>
    </row>
    <row r="36" customFormat="false" ht="23.25" hidden="false" customHeight="true" outlineLevel="0" collapsed="false">
      <c r="A36" s="17" t="str">
        <f aca="false">Questionnaire!A38</f>
        <v>H2</v>
      </c>
      <c r="B36" s="17" t="str">
        <f aca="false">Questionnaire!B38</f>
        <v>Network and gateway</v>
      </c>
      <c r="C36" s="18" t="str">
        <f aca="false">Questionnaire!C38</f>
        <v>Which TLS versions and cipher policy are used? Is mutual TLS available for APIs?</v>
      </c>
      <c r="D36" s="18" t="s">
        <v>627</v>
      </c>
      <c r="E36" s="18" t="s">
        <v>1256</v>
      </c>
      <c r="F36" s="18" t="s">
        <v>628</v>
      </c>
      <c r="G36" s="18" t="s">
        <v>1286</v>
      </c>
      <c r="H36" s="18"/>
    </row>
    <row r="37" customFormat="false" ht="15" hidden="false" customHeight="true" outlineLevel="0" collapsed="false">
      <c r="A37" s="17" t="str">
        <f aca="false">Questionnaire!A39</f>
        <v>H3</v>
      </c>
      <c r="B37" s="17" t="str">
        <f aca="false">Questionnaire!B39</f>
        <v>Network and gateway</v>
      </c>
      <c r="C37" s="18" t="str">
        <f aca="false">Questionnaire!C39</f>
        <v>How are APIs authenticated (OAuth, keys), scoped and rate-limited?</v>
      </c>
      <c r="D37" s="18" t="s">
        <v>627</v>
      </c>
      <c r="E37" s="18" t="s">
        <v>1256</v>
      </c>
      <c r="F37" s="18" t="s">
        <v>628</v>
      </c>
      <c r="G37" s="18" t="s">
        <v>1287</v>
      </c>
      <c r="H37" s="18"/>
    </row>
    <row r="38" customFormat="false" ht="23.25" hidden="false" customHeight="true" outlineLevel="0" collapsed="false">
      <c r="A38" s="17" t="str">
        <f aca="false">Questionnaire!A40</f>
        <v>I1</v>
      </c>
      <c r="B38" s="17" t="str">
        <f aca="false">Questionnaire!B40</f>
        <v>Data protection</v>
      </c>
      <c r="C38" s="18" t="str">
        <f aca="false">Questionnaire!C40</f>
        <v>How is data encrypted at rest and in transit, who manages keys, and is a customer-managed key option available?</v>
      </c>
      <c r="D38" s="18" t="s">
        <v>627</v>
      </c>
      <c r="E38" s="18" t="s">
        <v>1256</v>
      </c>
      <c r="F38" s="18" t="s">
        <v>712</v>
      </c>
      <c r="G38" s="18" t="s">
        <v>713</v>
      </c>
      <c r="H38" s="18"/>
    </row>
    <row r="39" customFormat="false" ht="23.25" hidden="false" customHeight="true" outlineLevel="0" collapsed="false">
      <c r="A39" s="17" t="str">
        <f aca="false">Questionnaire!A41</f>
        <v>I2</v>
      </c>
      <c r="B39" s="17" t="str">
        <f aca="false">Questionnaire!B41</f>
        <v>Data protection</v>
      </c>
      <c r="C39" s="18" t="str">
        <f aca="false">Questionnaire!C41</f>
        <v>In which countries and regions is data hosted and backed up? Are there cross-border transfers?</v>
      </c>
      <c r="D39" s="18" t="s">
        <v>719</v>
      </c>
      <c r="E39" s="18" t="s">
        <v>1256</v>
      </c>
      <c r="F39" s="18" t="s">
        <v>720</v>
      </c>
      <c r="G39" s="18" t="s">
        <v>721</v>
      </c>
      <c r="H39" s="18"/>
    </row>
    <row r="40" customFormat="false" ht="23.25" hidden="false" customHeight="true" outlineLevel="0" collapsed="false">
      <c r="A40" s="17" t="str">
        <f aca="false">Questionnaire!A42</f>
        <v>I3</v>
      </c>
      <c r="B40" s="17" t="str">
        <f aca="false">Questionnaire!B42</f>
        <v>Data protection</v>
      </c>
      <c r="C40" s="18" t="str">
        <f aca="false">Questionnaire!C42</f>
        <v>What are the retention, deletion and return rules at contract end, including backups?</v>
      </c>
      <c r="D40" s="18" t="s">
        <v>1288</v>
      </c>
      <c r="E40" s="18" t="s">
        <v>1256</v>
      </c>
      <c r="F40" s="18" t="s">
        <v>1289</v>
      </c>
      <c r="G40" s="18" t="s">
        <v>1290</v>
      </c>
      <c r="H40" s="18"/>
    </row>
    <row r="41" customFormat="false" ht="23.25" hidden="false" customHeight="true" outlineLevel="0" collapsed="false">
      <c r="A41" s="17" t="str">
        <f aca="false">Questionnaire!A43</f>
        <v>I4</v>
      </c>
      <c r="B41" s="17" t="str">
        <f aca="false">Questionnaire!B43</f>
        <v>Data protection</v>
      </c>
      <c r="C41" s="18" t="str">
        <f aca="false">Questionnaire!C43</f>
        <v>How is sensitive personal data (passport, ID, emergency contacts) protected (masking, field-level encryption)?</v>
      </c>
      <c r="D41" s="18" t="s">
        <v>1282</v>
      </c>
      <c r="E41" s="18" t="s">
        <v>1256</v>
      </c>
      <c r="F41" s="18" t="s">
        <v>628</v>
      </c>
      <c r="G41" s="18" t="s">
        <v>1291</v>
      </c>
      <c r="H41" s="18"/>
    </row>
    <row r="42" customFormat="false" ht="15" hidden="false" customHeight="true" outlineLevel="0" collapsed="false">
      <c r="A42" s="17" t="str">
        <f aca="false">Questionnaire!A44</f>
        <v>I5</v>
      </c>
      <c r="B42" s="17" t="str">
        <f aca="false">Questionnaire!B44</f>
        <v>Data protection</v>
      </c>
      <c r="C42" s="18" t="str">
        <f aca="false">Questionnaire!C44</f>
        <v>Is our data used for development, testing or AI model training?</v>
      </c>
      <c r="D42" s="18" t="s">
        <v>1272</v>
      </c>
      <c r="E42" s="18" t="s">
        <v>1256</v>
      </c>
      <c r="F42" s="18" t="s">
        <v>1292</v>
      </c>
      <c r="G42" s="18" t="s">
        <v>1293</v>
      </c>
      <c r="H42" s="18"/>
    </row>
    <row r="43" customFormat="false" ht="23.25" hidden="false" customHeight="true" outlineLevel="0" collapsed="false">
      <c r="A43" s="17" t="str">
        <f aca="false">Questionnaire!A45</f>
        <v>I6</v>
      </c>
      <c r="B43" s="17" t="str">
        <f aca="false">Questionnaire!B45</f>
        <v>Data protection</v>
      </c>
      <c r="C43" s="18" t="str">
        <f aca="false">Questionnaire!C45</f>
        <v>How are personal data and card data kept out of application logs and monitoring tools?</v>
      </c>
      <c r="D43" s="18" t="s">
        <v>1294</v>
      </c>
      <c r="E43" s="18" t="s">
        <v>1256</v>
      </c>
      <c r="F43" s="18" t="s">
        <v>653</v>
      </c>
      <c r="G43" s="18" t="s">
        <v>1295</v>
      </c>
      <c r="H43" s="18"/>
    </row>
    <row r="44" customFormat="false" ht="15" hidden="false" customHeight="true" outlineLevel="0" collapsed="false">
      <c r="A44" s="17" t="str">
        <f aca="false">Questionnaire!A46</f>
        <v>I7</v>
      </c>
      <c r="B44" s="17" t="str">
        <f aca="false">Questionnaire!B46</f>
        <v>Data protection</v>
      </c>
      <c r="C44" s="18" t="str">
        <f aca="false">Questionnaire!C46</f>
        <v>How long is guest data kept after the trip, and how is it deleted?</v>
      </c>
      <c r="D44" s="18" t="s">
        <v>1288</v>
      </c>
      <c r="E44" s="18" t="s">
        <v>1256</v>
      </c>
      <c r="F44" s="18" t="s">
        <v>1296</v>
      </c>
      <c r="G44" s="18" t="s">
        <v>1290</v>
      </c>
      <c r="H44" s="18"/>
    </row>
    <row r="45" customFormat="false" ht="15" hidden="false" customHeight="true" outlineLevel="0" collapsed="false">
      <c r="A45" s="17" t="str">
        <f aca="false">Questionnaire!A47</f>
        <v>I8</v>
      </c>
      <c r="B45" s="17" t="str">
        <f aca="false">Questionnaire!B47</f>
        <v>Data protection</v>
      </c>
      <c r="C45" s="18" t="str">
        <f aca="false">Questionnaire!C47</f>
        <v>How is separation between customer tenants enforced and tested?</v>
      </c>
      <c r="D45" s="18" t="s">
        <v>627</v>
      </c>
      <c r="E45" s="18" t="s">
        <v>1256</v>
      </c>
      <c r="F45" s="18" t="s">
        <v>628</v>
      </c>
      <c r="G45" s="18" t="s">
        <v>813</v>
      </c>
      <c r="H45" s="18"/>
    </row>
    <row r="46" customFormat="false" ht="23.25" hidden="false" customHeight="true" outlineLevel="0" collapsed="false">
      <c r="A46" s="17" t="str">
        <f aca="false">Questionnaire!A48</f>
        <v>J1</v>
      </c>
      <c r="B46" s="17" t="str">
        <f aca="false">Questionnaire!B48</f>
        <v>Logging and monitoring</v>
      </c>
      <c r="C46" s="18" t="str">
        <f aca="false">Questionnaire!C48</f>
        <v>Are logins, bookings, approvals, admin actions and sync events logged immutably? How long are logs kept?</v>
      </c>
      <c r="D46" s="18" t="s">
        <v>727</v>
      </c>
      <c r="E46" s="18" t="s">
        <v>1256</v>
      </c>
      <c r="F46" s="18" t="s">
        <v>628</v>
      </c>
      <c r="G46" s="18" t="s">
        <v>1297</v>
      </c>
      <c r="H46" s="18"/>
    </row>
    <row r="47" customFormat="false" ht="15" hidden="false" customHeight="true" outlineLevel="0" collapsed="false">
      <c r="A47" s="17" t="str">
        <f aca="false">Questionnaire!A49</f>
        <v>J2</v>
      </c>
      <c r="B47" s="17" t="str">
        <f aca="false">Questionnaire!B49</f>
        <v>Logging and monitoring</v>
      </c>
      <c r="C47" s="18" t="str">
        <f aca="false">Questionnaire!C49</f>
        <v>Can we export logs to our SIEM in near real time?</v>
      </c>
      <c r="D47" s="18" t="s">
        <v>727</v>
      </c>
      <c r="E47" s="18" t="s">
        <v>1256</v>
      </c>
      <c r="F47" s="18" t="s">
        <v>696</v>
      </c>
      <c r="G47" s="18" t="s">
        <v>1298</v>
      </c>
      <c r="H47" s="18"/>
    </row>
    <row r="48" customFormat="false" ht="15" hidden="false" customHeight="true" outlineLevel="0" collapsed="false">
      <c r="A48" s="17" t="str">
        <f aca="false">Questionnaire!A50</f>
        <v>J3</v>
      </c>
      <c r="B48" s="17" t="str">
        <f aca="false">Questionnaire!B50</f>
        <v>Logging and monitoring</v>
      </c>
      <c r="C48" s="18" t="str">
        <f aca="false">Questionnaire!C50</f>
        <v>How are suspicious events detected, and how are we alerted?</v>
      </c>
      <c r="D48" s="18" t="s">
        <v>727</v>
      </c>
      <c r="E48" s="18" t="s">
        <v>1256</v>
      </c>
      <c r="F48" s="18" t="s">
        <v>1299</v>
      </c>
      <c r="G48" s="18" t="s">
        <v>1278</v>
      </c>
      <c r="H48" s="18"/>
    </row>
    <row r="49" customFormat="false" ht="23.25" hidden="false" customHeight="true" outlineLevel="0" collapsed="false">
      <c r="A49" s="17" t="str">
        <f aca="false">Questionnaire!A51</f>
        <v>K1</v>
      </c>
      <c r="B49" s="17" t="str">
        <f aca="false">Questionnaire!B51</f>
        <v>Subprocessors</v>
      </c>
      <c r="C49" s="18" t="str">
        <f aca="false">Questionnaire!C51</f>
        <v>Who are the subprocessors and fourth parties (hosting, booking suppliers, payment), what data do they get and where?</v>
      </c>
      <c r="D49" s="18" t="s">
        <v>828</v>
      </c>
      <c r="E49" s="18" t="s">
        <v>1300</v>
      </c>
      <c r="F49" s="18" t="s">
        <v>736</v>
      </c>
      <c r="G49" s="18" t="s">
        <v>1301</v>
      </c>
      <c r="H49" s="18"/>
    </row>
    <row r="50" customFormat="false" ht="23.25" hidden="false" customHeight="true" outlineLevel="0" collapsed="false">
      <c r="A50" s="17" t="str">
        <f aca="false">Questionnaire!A52</f>
        <v>K2</v>
      </c>
      <c r="B50" s="17" t="str">
        <f aca="false">Questionnaire!B52</f>
        <v>Subprocessors</v>
      </c>
      <c r="C50" s="18" t="str">
        <f aca="false">Questionnaire!C52</f>
        <v>How are subprocessors assessed, and how are we notified of changes?</v>
      </c>
      <c r="D50" s="18" t="s">
        <v>1255</v>
      </c>
      <c r="E50" s="18" t="s">
        <v>1300</v>
      </c>
      <c r="F50" s="18" t="s">
        <v>1302</v>
      </c>
      <c r="G50" s="18" t="s">
        <v>1303</v>
      </c>
      <c r="H50" s="18"/>
    </row>
    <row r="51" customFormat="false" ht="34.5" hidden="false" customHeight="true" outlineLevel="0" collapsed="false">
      <c r="A51" s="17" t="str">
        <f aca="false">Questionnaire!A53</f>
        <v>K3</v>
      </c>
      <c r="B51" s="17" t="str">
        <f aca="false">Questionnaire!B53</f>
        <v>Subprocessors</v>
      </c>
      <c r="C51" s="18" t="str">
        <f aca="false">Questionnaire!C53</f>
        <v>For each fourth party, which personal data is shared, for what purpose, and is the supplier a processor or an independent controller?</v>
      </c>
      <c r="D51" s="18" t="s">
        <v>828</v>
      </c>
      <c r="E51" s="18" t="s">
        <v>1300</v>
      </c>
      <c r="F51" s="18" t="s">
        <v>736</v>
      </c>
      <c r="G51" s="18" t="s">
        <v>1304</v>
      </c>
      <c r="H51" s="18"/>
    </row>
    <row r="52" customFormat="false" ht="23.25" hidden="false" customHeight="true" outlineLevel="0" collapsed="false">
      <c r="A52" s="17" t="str">
        <f aca="false">Questionnaire!A54</f>
        <v>K4</v>
      </c>
      <c r="B52" s="17" t="str">
        <f aca="false">Questionnaire!B54</f>
        <v>Subprocessors</v>
      </c>
      <c r="C52" s="18" t="str">
        <f aca="false">Questionnaire!C54</f>
        <v>Does the contract give us advance notice of subprocessor changes and a right to object?</v>
      </c>
      <c r="D52" s="18" t="s">
        <v>1255</v>
      </c>
      <c r="E52" s="18" t="s">
        <v>1300</v>
      </c>
      <c r="F52" s="18" t="s">
        <v>1302</v>
      </c>
      <c r="G52" s="18" t="s">
        <v>1303</v>
      </c>
      <c r="H52" s="18"/>
    </row>
    <row r="53" customFormat="false" ht="23.25" hidden="false" customHeight="true" outlineLevel="0" collapsed="false">
      <c r="A53" s="17" t="str">
        <f aca="false">Questionnaire!A55</f>
        <v>K5</v>
      </c>
      <c r="B53" s="17" t="str">
        <f aca="false">Questionnaire!B55</f>
        <v>Subprocessors</v>
      </c>
      <c r="C53" s="18" t="str">
        <f aca="false">Questionnaire!C55</f>
        <v>How do visa agencies and other suppliers delete or return data after the trip?</v>
      </c>
      <c r="D53" s="18" t="s">
        <v>1288</v>
      </c>
      <c r="E53" s="18" t="s">
        <v>1256</v>
      </c>
      <c r="F53" s="18" t="s">
        <v>1289</v>
      </c>
      <c r="G53" s="18" t="s">
        <v>1290</v>
      </c>
      <c r="H53" s="18"/>
    </row>
    <row r="54" customFormat="false" ht="23.25" hidden="false" customHeight="true" outlineLevel="0" collapsed="false">
      <c r="A54" s="17" t="str">
        <f aca="false">Questionnaire!A56</f>
        <v>L1</v>
      </c>
      <c r="B54" s="17" t="str">
        <f aca="false">Questionnaire!B56</f>
        <v>Assurance</v>
      </c>
      <c r="C54" s="18" t="str">
        <f aca="false">Questionnaire!C56</f>
        <v>Is there a current SOC 2 Type II or ISO 27001 report whose scope covers this service?</v>
      </c>
      <c r="D54" s="18" t="s">
        <v>1305</v>
      </c>
      <c r="E54" s="18" t="s">
        <v>1256</v>
      </c>
      <c r="F54" s="18" t="s">
        <v>1257</v>
      </c>
      <c r="G54" s="18" t="s">
        <v>1303</v>
      </c>
      <c r="H54" s="18" t="s">
        <v>791</v>
      </c>
    </row>
    <row r="55" customFormat="false" ht="23.25" hidden="false" customHeight="true" outlineLevel="0" collapsed="false">
      <c r="A55" s="17" t="str">
        <f aca="false">Questionnaire!A57</f>
        <v>L2</v>
      </c>
      <c r="B55" s="17" t="str">
        <f aca="false">Questionnaire!B57</f>
        <v>Assurance</v>
      </c>
      <c r="C55" s="18" t="str">
        <f aca="false">Questionnaire!C57</f>
        <v>When was the last independent penetration test, and what is the remediation status?</v>
      </c>
      <c r="D55" s="18" t="s">
        <v>788</v>
      </c>
      <c r="E55" s="18" t="s">
        <v>1300</v>
      </c>
      <c r="F55" s="18" t="s">
        <v>1306</v>
      </c>
      <c r="G55" s="18" t="s">
        <v>1307</v>
      </c>
      <c r="H55" s="18"/>
    </row>
    <row r="56" customFormat="false" ht="15" hidden="false" customHeight="true" outlineLevel="0" collapsed="false">
      <c r="A56" s="17" t="str">
        <f aca="false">Questionnaire!A58</f>
        <v>L3</v>
      </c>
      <c r="B56" s="17" t="str">
        <f aca="false">Questionnaire!B58</f>
        <v>Assurance</v>
      </c>
      <c r="C56" s="18" t="str">
        <f aca="false">Questionnaire!C58</f>
        <v>What are the vulnerability management and patching timelines?</v>
      </c>
      <c r="D56" s="18" t="s">
        <v>627</v>
      </c>
      <c r="E56" s="18" t="s">
        <v>1256</v>
      </c>
      <c r="F56" s="18" t="s">
        <v>628</v>
      </c>
      <c r="G56" s="18" t="s">
        <v>1308</v>
      </c>
      <c r="H56" s="18"/>
    </row>
    <row r="57" customFormat="false" ht="23.25" hidden="false" customHeight="true" outlineLevel="0" collapsed="false">
      <c r="A57" s="17" t="str">
        <f aca="false">Questionnaire!A59</f>
        <v>M1</v>
      </c>
      <c r="B57" s="17" t="str">
        <f aca="false">Questionnaire!B59</f>
        <v>Resilience and exit</v>
      </c>
      <c r="C57" s="18" t="str">
        <f aca="false">Questionnaire!C59</f>
        <v>What are the RTO, RPO and uptime SLA, and when was disaster recovery last tested?</v>
      </c>
      <c r="D57" s="18" t="s">
        <v>1309</v>
      </c>
      <c r="E57" s="18" t="s">
        <v>1300</v>
      </c>
      <c r="F57" s="18" t="s">
        <v>1310</v>
      </c>
      <c r="G57" s="18" t="s">
        <v>1311</v>
      </c>
      <c r="H57" s="18"/>
    </row>
    <row r="58" customFormat="false" ht="15" hidden="false" customHeight="true" outlineLevel="0" collapsed="false">
      <c r="A58" s="17" t="str">
        <f aca="false">Questionnaire!A60</f>
        <v>M2</v>
      </c>
      <c r="B58" s="17" t="str">
        <f aca="false">Questionnaire!B60</f>
        <v>Resilience and exit</v>
      </c>
      <c r="C58" s="18" t="str">
        <f aca="false">Questionnaire!C60</f>
        <v>What is the breach notification commitment and process?</v>
      </c>
      <c r="D58" s="18" t="s">
        <v>1312</v>
      </c>
      <c r="E58" s="18" t="s">
        <v>1256</v>
      </c>
      <c r="F58" s="18" t="s">
        <v>1299</v>
      </c>
      <c r="G58" s="18" t="s">
        <v>1313</v>
      </c>
      <c r="H58" s="18"/>
    </row>
    <row r="59" customFormat="false" ht="23.25" hidden="false" customHeight="true" outlineLevel="0" collapsed="false">
      <c r="A59" s="17" t="str">
        <f aca="false">Questionnaire!A61</f>
        <v>M3</v>
      </c>
      <c r="B59" s="17" t="str">
        <f aca="false">Questionnaire!B61</f>
        <v>Resilience and exit</v>
      </c>
      <c r="C59" s="18" t="str">
        <f aca="false">Questionnaire!C61</f>
        <v>What is the exit plan (data export formats, transition support) and our manual fallback if the vendor is unavailable?</v>
      </c>
      <c r="D59" s="18" t="s">
        <v>1314</v>
      </c>
      <c r="E59" s="18" t="s">
        <v>1300</v>
      </c>
      <c r="F59" s="18" t="s">
        <v>696</v>
      </c>
      <c r="G59" s="18" t="s">
        <v>1315</v>
      </c>
      <c r="H59" s="18"/>
    </row>
    <row r="60" customFormat="false" ht="23.25" hidden="false" customHeight="true" outlineLevel="0" collapsed="false">
      <c r="A60" s="17" t="str">
        <f aca="false">Questionnaire!A62</f>
        <v>N1</v>
      </c>
      <c r="B60" s="17" t="str">
        <f aca="false">Questionnaire!B62</f>
        <v>Contract terms</v>
      </c>
      <c r="C60" s="18" t="str">
        <f aca="false">Questionnaire!C62</f>
        <v>Does the contract fully describe the services, the functions supported, and the conditions for subcontracting?</v>
      </c>
      <c r="D60" s="18" t="s">
        <v>1316</v>
      </c>
      <c r="E60" s="18" t="s">
        <v>1256</v>
      </c>
      <c r="F60" s="18" t="s">
        <v>805</v>
      </c>
      <c r="G60" s="18" t="s">
        <v>806</v>
      </c>
      <c r="H60" s="18"/>
    </row>
    <row r="61" customFormat="false" ht="23.25" hidden="false" customHeight="true" outlineLevel="0" collapsed="false">
      <c r="A61" s="17" t="str">
        <f aca="false">Questionnaire!A63</f>
        <v>N2</v>
      </c>
      <c r="B61" s="17" t="str">
        <f aca="false">Questionnaire!B63</f>
        <v>Contract terms</v>
      </c>
      <c r="C61" s="18" t="str">
        <f aca="false">Questionnaire!C63</f>
        <v>Does the vendor commit to cooperate with our competent and resolution authorities?</v>
      </c>
      <c r="D61" s="18" t="s">
        <v>1317</v>
      </c>
      <c r="E61" s="18" t="s">
        <v>1256</v>
      </c>
      <c r="F61" s="18" t="s">
        <v>1318</v>
      </c>
      <c r="G61" s="18" t="s">
        <v>806</v>
      </c>
      <c r="H61" s="18"/>
    </row>
    <row r="62" customFormat="false" ht="23.25" hidden="false" customHeight="true" outlineLevel="0" collapsed="false">
      <c r="A62" s="17" t="str">
        <f aca="false">Questionnaire!A64</f>
        <v>N3</v>
      </c>
      <c r="B62" s="17" t="str">
        <f aca="false">Questionnaire!B64</f>
        <v>Contract terms</v>
      </c>
      <c r="C62" s="18" t="str">
        <f aca="false">Questionnaire!C64</f>
        <v>What termination rights and minimum notice periods does the contract provide?</v>
      </c>
      <c r="D62" s="18" t="s">
        <v>1319</v>
      </c>
      <c r="E62" s="18" t="s">
        <v>1256</v>
      </c>
      <c r="F62" s="18" t="s">
        <v>696</v>
      </c>
      <c r="G62" s="18" t="s">
        <v>806</v>
      </c>
      <c r="H62" s="18"/>
    </row>
    <row r="63" customFormat="false" ht="23.25" hidden="false" customHeight="true" outlineLevel="0" collapsed="false">
      <c r="A63" s="17" t="str">
        <f aca="false">Questionnaire!A65</f>
        <v>N4</v>
      </c>
      <c r="B63" s="17" t="str">
        <f aca="false">Questionnaire!B65</f>
        <v>Contract terms</v>
      </c>
      <c r="C63" s="18" t="str">
        <f aca="false">Questionnaire!C65</f>
        <v>Does the vendor assist with ICT incidents at no extra cost or at a predetermined cost?</v>
      </c>
      <c r="D63" s="18" t="s">
        <v>1320</v>
      </c>
      <c r="E63" s="18" t="s">
        <v>1256</v>
      </c>
      <c r="F63" s="18" t="s">
        <v>1321</v>
      </c>
      <c r="G63" s="18" t="s">
        <v>1322</v>
      </c>
      <c r="H63" s="18"/>
    </row>
    <row r="64" customFormat="false" ht="23.25" hidden="false" customHeight="true" outlineLevel="0" collapsed="false">
      <c r="A64" s="17" t="str">
        <f aca="false">Questionnaire!A66</f>
        <v>N5</v>
      </c>
      <c r="B64" s="17" t="str">
        <f aca="false">Questionnaire!B66</f>
        <v>Contract terms</v>
      </c>
      <c r="C64" s="18" t="str">
        <f aca="false">Questionnaire!C66</f>
        <v>Does the contract guarantee access to, recovery and return of our data if the vendor becomes insolvent or stops the service?</v>
      </c>
      <c r="D64" s="18" t="s">
        <v>1288</v>
      </c>
      <c r="E64" s="18" t="s">
        <v>1256</v>
      </c>
      <c r="F64" s="18" t="s">
        <v>662</v>
      </c>
      <c r="G64" s="18" t="s">
        <v>806</v>
      </c>
      <c r="H64" s="18"/>
    </row>
    <row r="65" customFormat="false" ht="23.25" hidden="false" customHeight="true" outlineLevel="0" collapsed="false">
      <c r="A65" s="17" t="str">
        <f aca="false">Questionnaire!A67</f>
        <v>N6</v>
      </c>
      <c r="B65" s="17" t="str">
        <f aca="false">Questionnaire!B67</f>
        <v>Contract terms</v>
      </c>
      <c r="C65" s="18" t="str">
        <f aca="false">Questionnaire!C67</f>
        <v>Will the vendor take part in our security awareness and resilience training where required?</v>
      </c>
      <c r="D65" s="18" t="s">
        <v>1323</v>
      </c>
      <c r="E65" s="18" t="s">
        <v>1256</v>
      </c>
      <c r="F65" s="18" t="s">
        <v>696</v>
      </c>
      <c r="G65" s="18" t="s">
        <v>1324</v>
      </c>
      <c r="H65" s="18"/>
    </row>
    <row r="66" customFormat="false" ht="23.25" hidden="false" customHeight="true" outlineLevel="0" collapsed="false">
      <c r="A66" s="17" t="str">
        <f aca="false">Questionnaire!A68</f>
        <v>N7</v>
      </c>
      <c r="B66" s="17" t="str">
        <f aca="false">Questionnaire!B68</f>
        <v>Contract terms</v>
      </c>
      <c r="C66" s="18" t="str">
        <f aca="false">Questionnaire!C68</f>
        <v>Does the contract give us rights of access, inspection and audit over the service?</v>
      </c>
      <c r="D66" s="18" t="s">
        <v>1325</v>
      </c>
      <c r="E66" s="18" t="s">
        <v>1300</v>
      </c>
      <c r="F66" s="18" t="s">
        <v>1326</v>
      </c>
      <c r="G66" s="18" t="s">
        <v>1303</v>
      </c>
      <c r="H66" s="18"/>
    </row>
    <row r="67" customFormat="false" ht="34.5" hidden="false" customHeight="true" outlineLevel="0" collapsed="false">
      <c r="A67" s="17" t="str">
        <f aca="false">Questionnaire!A69</f>
        <v>O1</v>
      </c>
      <c r="B67" s="17" t="str">
        <f aca="false">Questionnaire!B69</f>
        <v>Connector and credentials</v>
      </c>
      <c r="C67" s="18" t="str">
        <f aca="false">Questionnaire!C69</f>
        <v>Which source IP addresses will the connector use to reach our systems, and are they fixed, documented and announced before any change?</v>
      </c>
      <c r="D67" s="18" t="s">
        <v>627</v>
      </c>
      <c r="E67" s="18" t="s">
        <v>1256</v>
      </c>
      <c r="F67" s="18" t="s">
        <v>628</v>
      </c>
      <c r="G67" s="18" t="s">
        <v>629</v>
      </c>
      <c r="H67" s="18"/>
    </row>
    <row r="68" customFormat="false" ht="23.25" hidden="false" customHeight="true" outlineLevel="0" collapsed="false">
      <c r="A68" s="17" t="str">
        <f aca="false">Questionnaire!A70</f>
        <v>O2</v>
      </c>
      <c r="B68" s="17" t="str">
        <f aca="false">Questionnaire!B70</f>
        <v>Connector and credentials</v>
      </c>
      <c r="C68" s="18" t="str">
        <f aca="false">Questionnaire!C70</f>
        <v>Does the connector use mutual TLS or an equivalent strong client authentication for each connection to our systems?</v>
      </c>
      <c r="D68" s="18" t="s">
        <v>627</v>
      </c>
      <c r="E68" s="18" t="s">
        <v>1256</v>
      </c>
      <c r="F68" s="18" t="s">
        <v>628</v>
      </c>
      <c r="G68" s="18" t="s">
        <v>636</v>
      </c>
      <c r="H68" s="18"/>
    </row>
    <row r="69" customFormat="false" ht="23.25" hidden="false" customHeight="true" outlineLevel="0" collapsed="false">
      <c r="A69" s="17" t="str">
        <f aca="false">Questionnaire!A71</f>
        <v>O3</v>
      </c>
      <c r="B69" s="17" t="str">
        <f aca="false">Questionnaire!B71</f>
        <v>Connector and credentials</v>
      </c>
      <c r="C69" s="18" t="str">
        <f aca="false">Questionnaire!C71</f>
        <v>Where are our credentials for the HR system, HR portal, expense system and ERP stored, and who at the vendor can read them?</v>
      </c>
      <c r="D69" s="18" t="s">
        <v>627</v>
      </c>
      <c r="E69" s="18" t="s">
        <v>1256</v>
      </c>
      <c r="F69" s="18" t="s">
        <v>628</v>
      </c>
      <c r="G69" s="18" t="s">
        <v>642</v>
      </c>
      <c r="H69" s="18"/>
    </row>
    <row r="70" customFormat="false" ht="23.25" hidden="false" customHeight="true" outlineLevel="0" collapsed="false">
      <c r="A70" s="17" t="str">
        <f aca="false">Questionnaire!A72</f>
        <v>O4</v>
      </c>
      <c r="B70" s="17" t="str">
        <f aca="false">Questionnaire!B72</f>
        <v>Connector and credentials</v>
      </c>
      <c r="C70" s="18" t="str">
        <f aca="false">Questionnaire!C72</f>
        <v>How often are these credentials rotated, and can we force immediate rotation or revocation?</v>
      </c>
      <c r="D70" s="18" t="s">
        <v>627</v>
      </c>
      <c r="E70" s="18" t="s">
        <v>1256</v>
      </c>
      <c r="F70" s="18" t="s">
        <v>628</v>
      </c>
      <c r="G70" s="18" t="s">
        <v>646</v>
      </c>
      <c r="H70" s="18"/>
    </row>
    <row r="71" customFormat="false" ht="23.25" hidden="false" customHeight="true" outlineLevel="0" collapsed="false">
      <c r="A71" s="17" t="str">
        <f aca="false">Questionnaire!A73</f>
        <v>O5</v>
      </c>
      <c r="B71" s="17" t="str">
        <f aca="false">Questionnaire!B73</f>
        <v>Connector and credentials</v>
      </c>
      <c r="C71" s="18" t="str">
        <f aca="false">Questionnaire!C73</f>
        <v>Is the connector a dedicated instance for our bank, and how is it patched, monitored and isolated from other customers?</v>
      </c>
      <c r="D71" s="18" t="s">
        <v>627</v>
      </c>
      <c r="E71" s="18" t="s">
        <v>1256</v>
      </c>
      <c r="F71" s="18" t="s">
        <v>628</v>
      </c>
      <c r="G71" s="18" t="s">
        <v>1327</v>
      </c>
      <c r="H71" s="18"/>
    </row>
    <row r="72" customFormat="false" ht="23.25" hidden="false" customHeight="true" outlineLevel="0" collapsed="false">
      <c r="A72" s="17" t="str">
        <f aca="false">Questionnaire!A74</f>
        <v>O6</v>
      </c>
      <c r="B72" s="17" t="str">
        <f aca="false">Questionnaire!B74</f>
        <v>Connector and credentials</v>
      </c>
      <c r="C72" s="18" t="str">
        <f aca="false">Questionnaire!C74</f>
        <v>How does the connector enforce read-only access and the agreed data fields, and how is this logged?</v>
      </c>
      <c r="D72" s="18" t="s">
        <v>627</v>
      </c>
      <c r="E72" s="18" t="s">
        <v>1256</v>
      </c>
      <c r="F72" s="18" t="s">
        <v>653</v>
      </c>
      <c r="G72" s="18" t="s">
        <v>1283</v>
      </c>
      <c r="H72" s="18"/>
    </row>
    <row r="73" customFormat="false" ht="23.25" hidden="false" customHeight="true" outlineLevel="0" collapsed="false">
      <c r="A73" s="17" t="str">
        <f aca="false">Questionnaire!A75</f>
        <v>O7</v>
      </c>
      <c r="B73" s="17" t="str">
        <f aca="false">Questionnaire!B75</f>
        <v>Connector and credentials</v>
      </c>
      <c r="C73" s="18" t="str">
        <f aca="false">Questionnaire!C75</f>
        <v>What happens to the connector and our credentials at contract end, and how is deletion evidenced?</v>
      </c>
      <c r="D73" s="18" t="s">
        <v>661</v>
      </c>
      <c r="E73" s="18" t="s">
        <v>1300</v>
      </c>
      <c r="F73" s="18" t="s">
        <v>662</v>
      </c>
      <c r="G73" s="18" t="s">
        <v>663</v>
      </c>
      <c r="H73" s="18"/>
    </row>
    <row r="74" customFormat="false" ht="23.25" hidden="false" customHeight="true" outlineLevel="0" collapsed="false">
      <c r="A74" s="17" t="str">
        <f aca="false">Questionnaire!A76</f>
        <v>P1</v>
      </c>
      <c r="B74" s="17" t="str">
        <f aca="false">Questionnaire!B76</f>
        <v>Virtual cards</v>
      </c>
      <c r="C74" s="18" t="str">
        <f aca="false">Questionnaire!C76</f>
        <v>Which party stores or processes card numbers, and does each hold a current PCI DSS attestation that covers this service?</v>
      </c>
      <c r="D74" s="18" t="s">
        <v>766</v>
      </c>
      <c r="E74" s="18" t="s">
        <v>1256</v>
      </c>
      <c r="F74" s="18" t="s">
        <v>696</v>
      </c>
      <c r="G74" s="18" t="s">
        <v>767</v>
      </c>
      <c r="H74" s="18" t="s">
        <v>768</v>
      </c>
    </row>
    <row r="75" customFormat="false" ht="23.25" hidden="false" customHeight="true" outlineLevel="0" collapsed="false">
      <c r="A75" s="17" t="str">
        <f aca="false">Questionnaire!A77</f>
        <v>P2</v>
      </c>
      <c r="B75" s="17" t="str">
        <f aca="false">Questionnaire!B77</f>
        <v>Virtual cards</v>
      </c>
      <c r="C75" s="18" t="str">
        <f aca="false">Questionnaire!C77</f>
        <v>Are virtual cards single-use with a spending limit per booking, and who can change the limits?</v>
      </c>
      <c r="D75" s="18" t="s">
        <v>627</v>
      </c>
      <c r="E75" s="18" t="s">
        <v>1256</v>
      </c>
      <c r="F75" s="18" t="s">
        <v>696</v>
      </c>
      <c r="G75" s="18" t="s">
        <v>1328</v>
      </c>
      <c r="H75" s="18" t="s">
        <v>768</v>
      </c>
    </row>
    <row r="76" customFormat="false" ht="23.25" hidden="false" customHeight="true" outlineLevel="0" collapsed="false">
      <c r="A76" s="17" t="str">
        <f aca="false">Questionnaire!A78</f>
        <v>P3</v>
      </c>
      <c r="B76" s="17" t="str">
        <f aca="false">Questionnaire!B78</f>
        <v>Virtual cards</v>
      </c>
      <c r="C76" s="18" t="str">
        <f aca="false">Questionnaire!C78</f>
        <v>Does the platform hold full card numbers or only tokens, and how are numbers protected when shown to users?</v>
      </c>
      <c r="D76" s="18" t="s">
        <v>627</v>
      </c>
      <c r="E76" s="18" t="s">
        <v>1256</v>
      </c>
      <c r="F76" s="18" t="s">
        <v>696</v>
      </c>
      <c r="G76" s="18" t="s">
        <v>1329</v>
      </c>
      <c r="H76" s="18" t="s">
        <v>768</v>
      </c>
    </row>
    <row r="77" customFormat="false" ht="23.25" hidden="false" customHeight="true" outlineLevel="0" collapsed="false">
      <c r="A77" s="17" t="str">
        <f aca="false">Questionnaire!A79</f>
        <v>P4</v>
      </c>
      <c r="B77" s="17" t="str">
        <f aca="false">Questionnaire!B79</f>
        <v>Virtual cards</v>
      </c>
      <c r="C77" s="18" t="str">
        <f aca="false">Questionnaire!C79</f>
        <v>How are card transactions reconciled to bookings and to the monthly invoice, and how are disputes handled?</v>
      </c>
      <c r="D77" s="18" t="s">
        <v>627</v>
      </c>
      <c r="E77" s="18" t="s">
        <v>1256</v>
      </c>
      <c r="F77" s="18" t="s">
        <v>696</v>
      </c>
      <c r="G77" s="18" t="s">
        <v>1280</v>
      </c>
      <c r="H77" s="18" t="s">
        <v>768</v>
      </c>
    </row>
    <row r="78" customFormat="false" ht="23.25" hidden="false" customHeight="true" outlineLevel="0" collapsed="false">
      <c r="A78" s="17" t="str">
        <f aca="false">Questionnaire!A80</f>
        <v>Q1</v>
      </c>
      <c r="B78" s="17" t="str">
        <f aca="false">Questionnaire!B80</f>
        <v>Allowance, gifts and loyalty</v>
      </c>
      <c r="C78" s="18" t="str">
        <f aca="false">Questionnaire!C80</f>
        <v>Who can change the daily allowance rate table, and how are changes approved, logged and made visible to Finance?</v>
      </c>
      <c r="D78" s="18" t="s">
        <v>627</v>
      </c>
      <c r="E78" s="18" t="s">
        <v>1256</v>
      </c>
      <c r="F78" s="18" t="s">
        <v>696</v>
      </c>
      <c r="G78" s="18" t="s">
        <v>752</v>
      </c>
      <c r="H78" s="18" t="s">
        <v>753</v>
      </c>
    </row>
    <row r="79" customFormat="false" ht="23.25" hidden="false" customHeight="true" outlineLevel="0" collapsed="false">
      <c r="A79" s="17" t="str">
        <f aca="false">Questionnaire!A81</f>
        <v>Q2</v>
      </c>
      <c r="B79" s="17" t="str">
        <f aca="false">Questionnaire!B81</f>
        <v>Allowance, gifts and loyalty</v>
      </c>
      <c r="C79" s="18" t="str">
        <f aca="false">Questionnaire!C81</f>
        <v>How is the allowance calculated, and how are calculation errors detected before the amount reaches payroll or the expense system?</v>
      </c>
      <c r="D79" s="18" t="s">
        <v>627</v>
      </c>
      <c r="E79" s="18" t="s">
        <v>1256</v>
      </c>
      <c r="F79" s="18" t="s">
        <v>696</v>
      </c>
      <c r="G79" s="18" t="s">
        <v>1280</v>
      </c>
      <c r="H79" s="18" t="s">
        <v>753</v>
      </c>
    </row>
    <row r="80" customFormat="false" ht="23.25" hidden="false" customHeight="true" outlineLevel="0" collapsed="false">
      <c r="A80" s="17" t="str">
        <f aca="false">Questionnaire!A82</f>
        <v>Q3</v>
      </c>
      <c r="B80" s="17" t="str">
        <f aca="false">Questionnaire!B82</f>
        <v>Allowance, gifts and loyalty</v>
      </c>
      <c r="C80" s="18" t="str">
        <f aca="false">Questionnaire!C82</f>
        <v>How are gift and flower orders checked against value limits and recipient restrictions, and how is the audit trail kept?</v>
      </c>
      <c r="D80" s="18" t="s">
        <v>627</v>
      </c>
      <c r="E80" s="18" t="s">
        <v>1256</v>
      </c>
      <c r="F80" s="18" t="s">
        <v>1273</v>
      </c>
      <c r="G80" s="18" t="s">
        <v>1330</v>
      </c>
      <c r="H80" s="18" t="s">
        <v>761</v>
      </c>
    </row>
    <row r="81" customFormat="false" ht="23.25" hidden="false" customHeight="true" outlineLevel="0" collapsed="false">
      <c r="A81" s="17" t="str">
        <f aca="false">Questionnaire!A83</f>
        <v>Q4</v>
      </c>
      <c r="B81" s="17" t="str">
        <f aca="false">Questionnaire!B83</f>
        <v>Allowance, gifts and loyalty</v>
      </c>
      <c r="C81" s="18" t="str">
        <f aca="false">Questionnaire!C83</f>
        <v>How are loyalty and frequent flyer numbers stored, and who can see or use them?</v>
      </c>
      <c r="D81" s="18" t="s">
        <v>627</v>
      </c>
      <c r="E81" s="18" t="s">
        <v>1256</v>
      </c>
      <c r="F81" s="18" t="s">
        <v>628</v>
      </c>
      <c r="G81" s="18" t="s">
        <v>1331</v>
      </c>
      <c r="H81" s="18"/>
    </row>
    <row r="82" customFormat="false" ht="15" hidden="false" customHeight="true" outlineLevel="0" collapsed="false">
      <c r="A82" s="17" t="str">
        <f aca="false">Questionnaire!A84</f>
        <v>Q5</v>
      </c>
      <c r="B82" s="17" t="str">
        <f aca="false">Questionnaire!B84</f>
        <v>Allowance, gifts and loyalty</v>
      </c>
      <c r="C82" s="18" t="str">
        <f aca="false">Questionnaire!C84</f>
        <v>How are discount codes and corporate rates protected from misuse?</v>
      </c>
      <c r="D82" s="18" t="s">
        <v>627</v>
      </c>
      <c r="E82" s="18" t="s">
        <v>1256</v>
      </c>
      <c r="F82" s="18" t="s">
        <v>696</v>
      </c>
      <c r="G82" s="18" t="s">
        <v>1332</v>
      </c>
      <c r="H82" s="18"/>
    </row>
    <row r="83" customFormat="false" ht="34.5" hidden="false" customHeight="true" outlineLevel="0" collapsed="false">
      <c r="A83" s="17" t="str">
        <f aca="false">Questionnaire!A85</f>
        <v>T1</v>
      </c>
      <c r="B83" s="17" t="str">
        <f aca="false">Questionnaire!B85</f>
        <v>Regional and transfers</v>
      </c>
      <c r="C83" s="18" t="str">
        <f aca="false">Questionnaire!C85</f>
        <v>Which countries can access or receive personal data (support, subprocessors, suppliers), and what transfer mechanism applies to each?</v>
      </c>
      <c r="D83" s="18" t="s">
        <v>719</v>
      </c>
      <c r="E83" s="18" t="s">
        <v>1256</v>
      </c>
      <c r="F83" s="18" t="s">
        <v>720</v>
      </c>
      <c r="G83" s="18" t="s">
        <v>721</v>
      </c>
      <c r="H83" s="18" t="s">
        <v>722</v>
      </c>
    </row>
    <row r="84" customFormat="false" ht="23.25" hidden="false" customHeight="true" outlineLevel="0" collapsed="false">
      <c r="A84" s="17" t="str">
        <f aca="false">Questionnaire!A86</f>
        <v>T2</v>
      </c>
      <c r="B84" s="17" t="str">
        <f aca="false">Questionnaire!B86</f>
        <v>Regional and transfers</v>
      </c>
      <c r="C84" s="18" t="str">
        <f aca="false">Questionnaire!C86</f>
        <v>Can data for a region be kept in that region where local law requires it, for example for staff in Asia or Mexico?</v>
      </c>
      <c r="D84" s="18" t="s">
        <v>719</v>
      </c>
      <c r="E84" s="18" t="s">
        <v>1256</v>
      </c>
      <c r="F84" s="18" t="s">
        <v>720</v>
      </c>
      <c r="G84" s="18" t="s">
        <v>1274</v>
      </c>
      <c r="H84" s="18" t="s">
        <v>722</v>
      </c>
    </row>
    <row r="85" customFormat="false" ht="23.25" hidden="false" customHeight="true" outlineLevel="0" collapsed="false">
      <c r="A85" s="17" t="str">
        <f aca="false">Questionnaire!A87</f>
        <v>T3</v>
      </c>
      <c r="B85" s="17" t="str">
        <f aca="false">Questionnaire!B87</f>
        <v>Regional and transfers</v>
      </c>
      <c r="C85" s="18" t="str">
        <f aca="false">Questionnaire!C87</f>
        <v>Can the vendor meet local regulator information and audit requests for the bank's non-EU entities?</v>
      </c>
      <c r="D85" s="18" t="s">
        <v>1317</v>
      </c>
      <c r="E85" s="18" t="s">
        <v>1256</v>
      </c>
      <c r="F85" s="18" t="s">
        <v>696</v>
      </c>
      <c r="G85" s="18" t="s">
        <v>1333</v>
      </c>
      <c r="H85" s="18" t="s">
        <v>722</v>
      </c>
    </row>
    <row r="86" customFormat="false" ht="23.25" hidden="false" customHeight="true" outlineLevel="0" collapsed="false">
      <c r="A86" s="17" t="str">
        <f aca="false">Questionnaire!A88</f>
        <v>U1</v>
      </c>
      <c r="B86" s="17" t="str">
        <f aca="false">Questionnaire!B88</f>
        <v>Insurance hand-off</v>
      </c>
      <c r="C86" s="18" t="str">
        <f aca="false">Questionnaire!C88</f>
        <v>Which data does the platform send to the group insurer, and how is its accuracy checked (for example matching name and date of birth)?</v>
      </c>
      <c r="D86" s="18" t="s">
        <v>627</v>
      </c>
      <c r="E86" s="18" t="s">
        <v>1256</v>
      </c>
      <c r="F86" s="18" t="s">
        <v>1334</v>
      </c>
      <c r="G86" s="18" t="s">
        <v>1335</v>
      </c>
      <c r="H86" s="18"/>
    </row>
    <row r="87" customFormat="false" ht="23.25" hidden="false" customHeight="true" outlineLevel="0" collapsed="false">
      <c r="A87" s="17" t="str">
        <f aca="false">Questionnaire!A89</f>
        <v>U2</v>
      </c>
      <c r="B87" s="17" t="str">
        <f aca="false">Questionnaire!B89</f>
        <v>Insurance hand-off</v>
      </c>
      <c r="C87" s="18" t="str">
        <f aca="false">Questionnaire!C89</f>
        <v>How are assistance requests and any health information handled, stored and shared with the emergency assistance partner?</v>
      </c>
      <c r="D87" s="18" t="s">
        <v>627</v>
      </c>
      <c r="E87" s="18" t="s">
        <v>1256</v>
      </c>
      <c r="F87" s="18" t="s">
        <v>1336</v>
      </c>
      <c r="G87" s="18" t="s">
        <v>1291</v>
      </c>
      <c r="H87" s="18"/>
    </row>
    <row r="88" customFormat="false" ht="23.25" hidden="false" customHeight="true" outlineLevel="0" collapsed="false">
      <c r="A88" s="17" t="str">
        <f aca="false">Questionnaire!A90</f>
        <v>U3</v>
      </c>
      <c r="B88" s="17" t="str">
        <f aca="false">Questionnaire!B90</f>
        <v>Insurance hand-off</v>
      </c>
      <c r="C88" s="18" t="str">
        <f aca="false">Questionnaire!C90</f>
        <v>What happens if the insurer interface fails during a trip, and who is alerted?</v>
      </c>
      <c r="D88" s="18" t="s">
        <v>1337</v>
      </c>
      <c r="E88" s="18" t="s">
        <v>1256</v>
      </c>
      <c r="F88" s="18" t="s">
        <v>696</v>
      </c>
      <c r="G88" s="18" t="s">
        <v>1338</v>
      </c>
      <c r="H88" s="18"/>
    </row>
    <row r="89" customFormat="false" ht="34.5" hidden="false" customHeight="true" outlineLevel="0" collapsed="false">
      <c r="A89" s="17" t="str">
        <f aca="false">Questionnaire!A91</f>
        <v>W1</v>
      </c>
      <c r="B89" s="17" t="str">
        <f aca="false">Questionnaire!B91</f>
        <v>AI and automation</v>
      </c>
      <c r="C89" s="18" t="str">
        <f aca="false">Questionnaire!C91</f>
        <v>Does the platform use AI or automated decision features (for example chat assistants, recommendations or automated approvals), and which providers or models are used?</v>
      </c>
      <c r="D89" s="18" t="s">
        <v>828</v>
      </c>
      <c r="E89" s="18" t="s">
        <v>1256</v>
      </c>
      <c r="F89" s="18" t="s">
        <v>736</v>
      </c>
      <c r="G89" s="18" t="s">
        <v>1301</v>
      </c>
      <c r="H89" s="18" t="s">
        <v>831</v>
      </c>
    </row>
    <row r="90" customFormat="false" ht="23.25" hidden="false" customHeight="true" outlineLevel="0" collapsed="false">
      <c r="A90" s="17" t="str">
        <f aca="false">Questionnaire!A92</f>
        <v>W2</v>
      </c>
      <c r="B90" s="17" t="str">
        <f aca="false">Questionnaire!B92</f>
        <v>AI and automation</v>
      </c>
      <c r="C90" s="18" t="str">
        <f aca="false">Questionnaire!C92</f>
        <v>Is bank data used to train or improve models, by the vendor or any provider, and can this be switched off contractually?</v>
      </c>
      <c r="D90" s="18" t="s">
        <v>1272</v>
      </c>
      <c r="E90" s="18" t="s">
        <v>1256</v>
      </c>
      <c r="F90" s="18" t="s">
        <v>1292</v>
      </c>
      <c r="G90" s="18" t="s">
        <v>1339</v>
      </c>
      <c r="H90" s="18" t="s">
        <v>831</v>
      </c>
    </row>
    <row r="91" customFormat="false" ht="23.25" hidden="false" customHeight="true" outlineLevel="0" collapsed="false">
      <c r="A91" s="17" t="str">
        <f aca="false">Questionnaire!A93</f>
        <v>W3</v>
      </c>
      <c r="B91" s="17" t="str">
        <f aca="false">Questionnaire!B93</f>
        <v>AI and automation</v>
      </c>
      <c r="C91" s="18" t="str">
        <f aca="false">Questionnaire!C93</f>
        <v>How are AI outputs checked so that they cannot approve spend or change records without human control?</v>
      </c>
      <c r="D91" s="18" t="s">
        <v>627</v>
      </c>
      <c r="E91" s="18" t="s">
        <v>1256</v>
      </c>
      <c r="F91" s="18" t="s">
        <v>1340</v>
      </c>
      <c r="G91" s="18" t="s">
        <v>782</v>
      </c>
      <c r="H91" s="18" t="s">
        <v>831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6"/>
    <col collapsed="false" customWidth="true" hidden="false" outlineLevel="0" max="3" min="3" style="1" width="16"/>
    <col collapsed="false" customWidth="true" hidden="false" outlineLevel="0" max="5" min="4" style="1" width="26"/>
    <col collapsed="false" customWidth="true" hidden="false" outlineLevel="0" max="6" min="6" style="1" width="70"/>
  </cols>
  <sheetData>
    <row r="1" customFormat="false" ht="17.25" hidden="false" customHeight="true" outlineLevel="0" collapsed="false">
      <c r="A1" s="7" t="s">
        <v>1341</v>
      </c>
    </row>
    <row r="2" customFormat="false" ht="15" hidden="false" customHeight="true" outlineLevel="0" collapsed="false">
      <c r="A2" s="8" t="s">
        <v>1342</v>
      </c>
    </row>
    <row r="4" customFormat="false" ht="23.25" hidden="false" customHeight="true" outlineLevel="0" collapsed="false">
      <c r="A4" s="9" t="s">
        <v>1343</v>
      </c>
      <c r="B4" s="9" t="s">
        <v>1344</v>
      </c>
      <c r="C4" s="9" t="s">
        <v>1345</v>
      </c>
      <c r="D4" s="9" t="s">
        <v>77</v>
      </c>
      <c r="E4" s="9" t="s">
        <v>34</v>
      </c>
      <c r="F4" s="9" t="s">
        <v>1346</v>
      </c>
    </row>
    <row r="5" customFormat="false" ht="23.25" hidden="false" customHeight="true" outlineLevel="0" collapsed="false">
      <c r="A5" s="17" t="s">
        <v>1281</v>
      </c>
      <c r="B5" s="17" t="s">
        <v>1347</v>
      </c>
      <c r="C5" s="18" t="s">
        <v>1348</v>
      </c>
      <c r="D5" s="18" t="s">
        <v>1349</v>
      </c>
      <c r="E5" s="18" t="s">
        <v>1350</v>
      </c>
      <c r="F5" s="18" t="s">
        <v>1351</v>
      </c>
    </row>
    <row r="6" customFormat="false" ht="15" hidden="false" customHeight="true" outlineLevel="0" collapsed="false">
      <c r="A6" s="17" t="s">
        <v>1352</v>
      </c>
      <c r="B6" s="17" t="s">
        <v>1353</v>
      </c>
      <c r="C6" s="18" t="s">
        <v>1348</v>
      </c>
      <c r="D6" s="18" t="s">
        <v>1354</v>
      </c>
      <c r="E6" s="18" t="s">
        <v>1355</v>
      </c>
      <c r="F6" s="18" t="s">
        <v>1356</v>
      </c>
    </row>
    <row r="7" customFormat="false" ht="15" hidden="false" customHeight="true" outlineLevel="0" collapsed="false">
      <c r="A7" s="17" t="s">
        <v>1357</v>
      </c>
      <c r="B7" s="17" t="s">
        <v>1358</v>
      </c>
      <c r="C7" s="18" t="s">
        <v>1348</v>
      </c>
      <c r="D7" s="18" t="s">
        <v>214</v>
      </c>
      <c r="E7" s="18" t="s">
        <v>860</v>
      </c>
      <c r="F7" s="18" t="s">
        <v>862</v>
      </c>
    </row>
    <row r="8" customFormat="false" ht="15" hidden="false" customHeight="true" outlineLevel="0" collapsed="false">
      <c r="A8" s="17" t="s">
        <v>1359</v>
      </c>
      <c r="B8" s="17" t="s">
        <v>1360</v>
      </c>
      <c r="C8" s="18" t="s">
        <v>1348</v>
      </c>
      <c r="D8" s="18" t="s">
        <v>814</v>
      </c>
      <c r="E8" s="18" t="s">
        <v>937</v>
      </c>
      <c r="F8" s="18" t="s">
        <v>939</v>
      </c>
    </row>
    <row r="9" customFormat="false" ht="23.25" hidden="false" customHeight="true" outlineLevel="0" collapsed="false">
      <c r="A9" s="17" t="s">
        <v>1332</v>
      </c>
      <c r="B9" s="17" t="s">
        <v>1361</v>
      </c>
      <c r="C9" s="18" t="s">
        <v>1348</v>
      </c>
      <c r="D9" s="18" t="s">
        <v>1362</v>
      </c>
      <c r="E9" s="18" t="s">
        <v>1363</v>
      </c>
      <c r="F9" s="18" t="s">
        <v>1364</v>
      </c>
    </row>
    <row r="10" customFormat="false" ht="23.25" hidden="false" customHeight="true" outlineLevel="0" collapsed="false">
      <c r="A10" s="17" t="s">
        <v>1365</v>
      </c>
      <c r="B10" s="17" t="s">
        <v>1366</v>
      </c>
      <c r="C10" s="18" t="s">
        <v>1348</v>
      </c>
      <c r="D10" s="18" t="s">
        <v>1367</v>
      </c>
      <c r="E10" s="18" t="s">
        <v>1368</v>
      </c>
      <c r="F10" s="18" t="s">
        <v>1369</v>
      </c>
    </row>
    <row r="11" customFormat="false" ht="23.25" hidden="false" customHeight="true" outlineLevel="0" collapsed="false">
      <c r="A11" s="17" t="s">
        <v>646</v>
      </c>
      <c r="B11" s="17" t="s">
        <v>1370</v>
      </c>
      <c r="C11" s="18" t="s">
        <v>1348</v>
      </c>
      <c r="D11" s="18" t="s">
        <v>1371</v>
      </c>
      <c r="E11" s="18" t="s">
        <v>1372</v>
      </c>
      <c r="F11" s="18" t="s">
        <v>1373</v>
      </c>
    </row>
    <row r="12" customFormat="false" ht="23.25" hidden="false" customHeight="true" outlineLevel="0" collapsed="false">
      <c r="A12" s="17" t="s">
        <v>1268</v>
      </c>
      <c r="B12" s="17" t="s">
        <v>1374</v>
      </c>
      <c r="C12" s="18" t="s">
        <v>1348</v>
      </c>
      <c r="D12" s="18" t="s">
        <v>1375</v>
      </c>
      <c r="E12" s="18" t="s">
        <v>1376</v>
      </c>
      <c r="F12" s="18" t="s">
        <v>1377</v>
      </c>
    </row>
    <row r="13" customFormat="false" ht="15" hidden="false" customHeight="true" outlineLevel="0" collapsed="false">
      <c r="A13" s="17" t="s">
        <v>1378</v>
      </c>
      <c r="B13" s="17" t="s">
        <v>1379</v>
      </c>
      <c r="C13" s="18" t="s">
        <v>1348</v>
      </c>
      <c r="D13" s="18" t="s">
        <v>1380</v>
      </c>
      <c r="E13" s="18" t="s">
        <v>1381</v>
      </c>
      <c r="F13" s="18" t="s">
        <v>1382</v>
      </c>
    </row>
    <row r="14" customFormat="false" ht="23.25" hidden="false" customHeight="true" outlineLevel="0" collapsed="false">
      <c r="A14" s="17" t="s">
        <v>806</v>
      </c>
      <c r="B14" s="17" t="s">
        <v>1383</v>
      </c>
      <c r="C14" s="18" t="s">
        <v>1348</v>
      </c>
      <c r="D14" s="18" t="s">
        <v>1384</v>
      </c>
      <c r="E14" s="18" t="s">
        <v>1385</v>
      </c>
      <c r="F14" s="18" t="s">
        <v>1386</v>
      </c>
    </row>
    <row r="15" customFormat="false" ht="23.25" hidden="false" customHeight="true" outlineLevel="0" collapsed="false">
      <c r="A15" s="17" t="s">
        <v>1387</v>
      </c>
      <c r="B15" s="17" t="s">
        <v>1388</v>
      </c>
      <c r="C15" s="18" t="s">
        <v>1348</v>
      </c>
      <c r="D15" s="18" t="s">
        <v>1389</v>
      </c>
      <c r="E15" s="18" t="s">
        <v>1390</v>
      </c>
      <c r="F15" s="18" t="s">
        <v>1391</v>
      </c>
    </row>
    <row r="16" customFormat="false" ht="23.25" hidden="false" customHeight="true" outlineLevel="0" collapsed="false">
      <c r="A16" s="17" t="s">
        <v>1303</v>
      </c>
      <c r="B16" s="17" t="s">
        <v>1392</v>
      </c>
      <c r="C16" s="18" t="s">
        <v>1348</v>
      </c>
      <c r="D16" s="18" t="s">
        <v>1393</v>
      </c>
      <c r="E16" s="18" t="s">
        <v>1394</v>
      </c>
      <c r="F16" s="18" t="s">
        <v>1395</v>
      </c>
    </row>
    <row r="17" customFormat="false" ht="23.25" hidden="false" customHeight="true" outlineLevel="0" collapsed="false">
      <c r="A17" s="17" t="s">
        <v>1315</v>
      </c>
      <c r="B17" s="17" t="s">
        <v>1396</v>
      </c>
      <c r="C17" s="18" t="s">
        <v>1348</v>
      </c>
      <c r="D17" s="18" t="s">
        <v>1397</v>
      </c>
      <c r="E17" s="18" t="s">
        <v>1398</v>
      </c>
      <c r="F17" s="18" t="s">
        <v>1399</v>
      </c>
    </row>
    <row r="18" customFormat="false" ht="23.25" hidden="false" customHeight="true" outlineLevel="0" collapsed="false">
      <c r="A18" s="17" t="s">
        <v>1400</v>
      </c>
      <c r="B18" s="17" t="s">
        <v>1401</v>
      </c>
      <c r="C18" s="18" t="s">
        <v>1348</v>
      </c>
      <c r="D18" s="18" t="s">
        <v>175</v>
      </c>
      <c r="E18" s="18" t="s">
        <v>589</v>
      </c>
      <c r="F18" s="18" t="s">
        <v>1094</v>
      </c>
    </row>
    <row r="19" customFormat="false" ht="15" hidden="false" customHeight="true" outlineLevel="0" collapsed="false">
      <c r="A19" s="17" t="s">
        <v>1402</v>
      </c>
      <c r="B19" s="17" t="s">
        <v>1403</v>
      </c>
      <c r="C19" s="18" t="s">
        <v>1348</v>
      </c>
      <c r="D19" s="18" t="s">
        <v>1115</v>
      </c>
      <c r="E19" s="18" t="s">
        <v>229</v>
      </c>
      <c r="F19" s="18" t="s">
        <v>1404</v>
      </c>
    </row>
    <row r="20" customFormat="false" ht="15" hidden="false" customHeight="true" outlineLevel="0" collapsed="false">
      <c r="A20" s="17" t="s">
        <v>1338</v>
      </c>
      <c r="B20" s="17" t="s">
        <v>1405</v>
      </c>
      <c r="C20" s="18" t="s">
        <v>1348</v>
      </c>
      <c r="D20" s="18" t="s">
        <v>1406</v>
      </c>
      <c r="E20" s="18" t="s">
        <v>1407</v>
      </c>
      <c r="F20" s="18" t="s">
        <v>1408</v>
      </c>
    </row>
    <row r="21" customFormat="false" ht="15" hidden="false" customHeight="true" outlineLevel="0" collapsed="false">
      <c r="A21" s="17" t="s">
        <v>1333</v>
      </c>
      <c r="B21" s="17" t="s">
        <v>1409</v>
      </c>
      <c r="C21" s="18" t="s">
        <v>1348</v>
      </c>
      <c r="D21" s="18" t="s">
        <v>268</v>
      </c>
      <c r="E21" s="18" t="s">
        <v>1215</v>
      </c>
      <c r="F21" s="18" t="s">
        <v>1217</v>
      </c>
    </row>
    <row r="22" customFormat="false" ht="23.25" hidden="false" customHeight="true" outlineLevel="0" collapsed="false">
      <c r="A22" s="17" t="s">
        <v>1274</v>
      </c>
      <c r="B22" s="17" t="s">
        <v>1410</v>
      </c>
      <c r="C22" s="18" t="s">
        <v>1348</v>
      </c>
      <c r="D22" s="18" t="s">
        <v>1411</v>
      </c>
      <c r="E22" s="18" t="s">
        <v>1412</v>
      </c>
      <c r="F22" s="18" t="s">
        <v>1413</v>
      </c>
    </row>
    <row r="23" customFormat="false" ht="15" hidden="false" customHeight="true" outlineLevel="0" collapsed="false">
      <c r="A23" s="17" t="s">
        <v>1414</v>
      </c>
      <c r="B23" s="17" t="s">
        <v>1415</v>
      </c>
      <c r="C23" s="18" t="s">
        <v>1416</v>
      </c>
      <c r="D23" s="18" t="s">
        <v>126</v>
      </c>
      <c r="E23" s="18" t="s">
        <v>1124</v>
      </c>
      <c r="F23" s="18" t="s">
        <v>1109</v>
      </c>
    </row>
    <row r="24" customFormat="false" ht="23.25" hidden="false" customHeight="true" outlineLevel="0" collapsed="false">
      <c r="A24" s="17" t="s">
        <v>1417</v>
      </c>
      <c r="B24" s="17" t="s">
        <v>1418</v>
      </c>
      <c r="C24" s="18" t="s">
        <v>1416</v>
      </c>
      <c r="D24" s="18" t="s">
        <v>671</v>
      </c>
      <c r="E24" s="18" t="s">
        <v>574</v>
      </c>
      <c r="F24" s="18" t="s">
        <v>891</v>
      </c>
    </row>
    <row r="25" customFormat="false" ht="15" hidden="false" customHeight="true" outlineLevel="0" collapsed="false">
      <c r="A25" s="17" t="s">
        <v>1419</v>
      </c>
      <c r="B25" s="17" t="s">
        <v>1420</v>
      </c>
      <c r="C25" s="18" t="s">
        <v>1421</v>
      </c>
      <c r="D25" s="18" t="s">
        <v>248</v>
      </c>
      <c r="E25" s="18" t="s">
        <v>883</v>
      </c>
      <c r="F25" s="18" t="s">
        <v>885</v>
      </c>
    </row>
    <row r="26" customFormat="false" ht="15" hidden="false" customHeight="true" outlineLevel="0" collapsed="false">
      <c r="A26" s="17" t="s">
        <v>1422</v>
      </c>
      <c r="B26" s="17" t="s">
        <v>1423</v>
      </c>
      <c r="C26" s="18" t="s">
        <v>1421</v>
      </c>
      <c r="D26" s="18" t="s">
        <v>678</v>
      </c>
      <c r="E26" s="18" t="s">
        <v>683</v>
      </c>
      <c r="F26" s="18" t="s">
        <v>1424</v>
      </c>
    </row>
    <row r="27" customFormat="false" ht="23.25" hidden="false" customHeight="true" outlineLevel="0" collapsed="false">
      <c r="A27" s="17" t="s">
        <v>1328</v>
      </c>
      <c r="B27" s="17" t="s">
        <v>1425</v>
      </c>
      <c r="C27" s="18" t="s">
        <v>1421</v>
      </c>
      <c r="D27" s="18" t="s">
        <v>1426</v>
      </c>
      <c r="E27" s="18" t="s">
        <v>1427</v>
      </c>
      <c r="F27" s="18" t="s">
        <v>1428</v>
      </c>
    </row>
    <row r="28" customFormat="false" ht="23.25" hidden="false" customHeight="true" outlineLevel="0" collapsed="false">
      <c r="A28" s="17" t="s">
        <v>1264</v>
      </c>
      <c r="B28" s="17" t="s">
        <v>1429</v>
      </c>
      <c r="C28" s="18" t="s">
        <v>1421</v>
      </c>
      <c r="D28" s="18" t="s">
        <v>1430</v>
      </c>
      <c r="E28" s="18" t="s">
        <v>1431</v>
      </c>
      <c r="F28" s="18" t="s">
        <v>1432</v>
      </c>
    </row>
    <row r="29" customFormat="false" ht="23.25" hidden="false" customHeight="true" outlineLevel="0" collapsed="false">
      <c r="A29" s="17" t="s">
        <v>1308</v>
      </c>
      <c r="B29" s="17" t="s">
        <v>1433</v>
      </c>
      <c r="C29" s="18" t="s">
        <v>1421</v>
      </c>
      <c r="D29" s="18" t="s">
        <v>1434</v>
      </c>
      <c r="E29" s="18" t="s">
        <v>1435</v>
      </c>
      <c r="F29" s="18" t="s">
        <v>1436</v>
      </c>
    </row>
    <row r="30" customFormat="false" ht="23.25" hidden="false" customHeight="true" outlineLevel="0" collapsed="false">
      <c r="A30" s="17" t="s">
        <v>1290</v>
      </c>
      <c r="B30" s="17" t="s">
        <v>1437</v>
      </c>
      <c r="C30" s="18" t="s">
        <v>1421</v>
      </c>
      <c r="D30" s="18" t="s">
        <v>1438</v>
      </c>
      <c r="E30" s="18" t="s">
        <v>1439</v>
      </c>
      <c r="F30" s="18" t="s">
        <v>1440</v>
      </c>
    </row>
    <row r="31" customFormat="false" ht="23.25" hidden="false" customHeight="true" outlineLevel="0" collapsed="false">
      <c r="A31" s="17" t="s">
        <v>1441</v>
      </c>
      <c r="B31" s="17" t="s">
        <v>1442</v>
      </c>
      <c r="C31" s="18" t="s">
        <v>1421</v>
      </c>
      <c r="D31" s="18" t="s">
        <v>1443</v>
      </c>
      <c r="E31" s="18" t="s">
        <v>1444</v>
      </c>
      <c r="F31" s="18" t="s">
        <v>1445</v>
      </c>
    </row>
    <row r="32" customFormat="false" ht="15" hidden="false" customHeight="true" outlineLevel="0" collapsed="false">
      <c r="A32" s="17" t="s">
        <v>1446</v>
      </c>
      <c r="B32" s="17" t="s">
        <v>1447</v>
      </c>
      <c r="C32" s="18" t="s">
        <v>1421</v>
      </c>
      <c r="D32" s="18" t="s">
        <v>175</v>
      </c>
      <c r="E32" s="18" t="s">
        <v>174</v>
      </c>
      <c r="F32" s="18" t="s">
        <v>1090</v>
      </c>
    </row>
    <row r="33" customFormat="false" ht="15" hidden="false" customHeight="true" outlineLevel="0" collapsed="false">
      <c r="A33" s="17" t="s">
        <v>1448</v>
      </c>
      <c r="B33" s="17" t="s">
        <v>1449</v>
      </c>
      <c r="C33" s="18" t="s">
        <v>1421</v>
      </c>
      <c r="D33" s="18" t="s">
        <v>175</v>
      </c>
      <c r="E33" s="18" t="s">
        <v>174</v>
      </c>
      <c r="F33" s="18" t="s">
        <v>1090</v>
      </c>
    </row>
    <row r="34" customFormat="false" ht="23.25" hidden="false" customHeight="true" outlineLevel="0" collapsed="false">
      <c r="A34" s="17" t="s">
        <v>1297</v>
      </c>
      <c r="B34" s="17" t="s">
        <v>1450</v>
      </c>
      <c r="C34" s="18" t="s">
        <v>1421</v>
      </c>
      <c r="D34" s="18" t="s">
        <v>1451</v>
      </c>
      <c r="E34" s="18" t="s">
        <v>1452</v>
      </c>
      <c r="F34" s="18" t="s">
        <v>1453</v>
      </c>
    </row>
    <row r="35" customFormat="false" ht="23.25" hidden="false" customHeight="true" outlineLevel="0" collapsed="false">
      <c r="A35" s="17" t="s">
        <v>1278</v>
      </c>
      <c r="B35" s="17" t="s">
        <v>1454</v>
      </c>
      <c r="C35" s="18" t="s">
        <v>1421</v>
      </c>
      <c r="D35" s="18" t="s">
        <v>205</v>
      </c>
      <c r="E35" s="18" t="s">
        <v>1455</v>
      </c>
      <c r="F35" s="18" t="s">
        <v>1456</v>
      </c>
    </row>
    <row r="36" customFormat="false" ht="23.25" hidden="false" customHeight="true" outlineLevel="0" collapsed="false">
      <c r="A36" s="17" t="s">
        <v>1457</v>
      </c>
      <c r="B36" s="17" t="s">
        <v>1458</v>
      </c>
      <c r="C36" s="18" t="s">
        <v>1421</v>
      </c>
      <c r="D36" s="18" t="s">
        <v>1459</v>
      </c>
      <c r="E36" s="18" t="s">
        <v>1460</v>
      </c>
      <c r="F36" s="18" t="s">
        <v>1461</v>
      </c>
    </row>
    <row r="37" customFormat="false" ht="23.25" hidden="false" customHeight="true" outlineLevel="0" collapsed="false">
      <c r="A37" s="17" t="s">
        <v>1462</v>
      </c>
      <c r="B37" s="17" t="s">
        <v>1463</v>
      </c>
      <c r="C37" s="18" t="s">
        <v>1421</v>
      </c>
      <c r="D37" s="18" t="s">
        <v>1464</v>
      </c>
      <c r="E37" s="18" t="s">
        <v>1465</v>
      </c>
      <c r="F37" s="18" t="s">
        <v>1466</v>
      </c>
    </row>
    <row r="38" customFormat="false" ht="23.25" hidden="false" customHeight="true" outlineLevel="0" collapsed="false">
      <c r="A38" s="17" t="s">
        <v>713</v>
      </c>
      <c r="B38" s="17" t="s">
        <v>1467</v>
      </c>
      <c r="C38" s="18" t="s">
        <v>1421</v>
      </c>
      <c r="D38" s="18" t="s">
        <v>1468</v>
      </c>
      <c r="E38" s="18" t="s">
        <v>1469</v>
      </c>
      <c r="F38" s="18" t="s">
        <v>1470</v>
      </c>
    </row>
    <row r="39" customFormat="false" ht="23.25" hidden="false" customHeight="true" outlineLevel="0" collapsed="false">
      <c r="A39" s="17" t="s">
        <v>1280</v>
      </c>
      <c r="B39" s="17" t="s">
        <v>1471</v>
      </c>
      <c r="C39" s="18" t="s">
        <v>1421</v>
      </c>
      <c r="D39" s="18" t="s">
        <v>1472</v>
      </c>
      <c r="E39" s="18" t="s">
        <v>1473</v>
      </c>
      <c r="F39" s="18" t="s">
        <v>1474</v>
      </c>
    </row>
    <row r="40" customFormat="false" ht="15" hidden="false" customHeight="true" outlineLevel="0" collapsed="false">
      <c r="A40" s="17" t="s">
        <v>1475</v>
      </c>
      <c r="B40" s="17" t="s">
        <v>1476</v>
      </c>
      <c r="C40" s="18" t="s">
        <v>1421</v>
      </c>
      <c r="D40" s="18" t="s">
        <v>156</v>
      </c>
      <c r="E40" s="18" t="s">
        <v>1081</v>
      </c>
      <c r="F40" s="18" t="s">
        <v>1083</v>
      </c>
    </row>
    <row r="41" customFormat="false" ht="23.25" hidden="false" customHeight="true" outlineLevel="0" collapsed="false">
      <c r="A41" s="17" t="s">
        <v>1477</v>
      </c>
      <c r="B41" s="17" t="s">
        <v>1478</v>
      </c>
      <c r="C41" s="18" t="s">
        <v>1421</v>
      </c>
      <c r="D41" s="18" t="s">
        <v>214</v>
      </c>
      <c r="E41" s="18" t="s">
        <v>213</v>
      </c>
      <c r="F41" s="18" t="s">
        <v>1023</v>
      </c>
    </row>
    <row r="42" customFormat="false" ht="23.25" hidden="false" customHeight="true" outlineLevel="0" collapsed="false">
      <c r="A42" s="17" t="s">
        <v>1279</v>
      </c>
      <c r="B42" s="17" t="s">
        <v>1479</v>
      </c>
      <c r="C42" s="18" t="s">
        <v>1421</v>
      </c>
      <c r="D42" s="18" t="s">
        <v>1480</v>
      </c>
      <c r="E42" s="18" t="s">
        <v>1481</v>
      </c>
      <c r="F42" s="18" t="s">
        <v>1482</v>
      </c>
    </row>
    <row r="43" customFormat="false" ht="15" hidden="false" customHeight="true" outlineLevel="0" collapsed="false">
      <c r="A43" s="17" t="s">
        <v>1483</v>
      </c>
      <c r="B43" s="17" t="s">
        <v>1484</v>
      </c>
      <c r="C43" s="18" t="s">
        <v>1421</v>
      </c>
      <c r="D43" s="18" t="s">
        <v>1485</v>
      </c>
      <c r="E43" s="18" t="s">
        <v>1486</v>
      </c>
      <c r="F43" s="18" t="s">
        <v>1487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2026-10-04T10:06:39Z</dcterms:created>
  <dc:creator>TPRM learning project</dc:creator>
  <dc:description/>
  <dc:language>en-US</dc:language>
  <cp:lastModifiedBy/>
  <dcterms:modified xsi:type="dcterms:W3CDTF">2026-10-04T10:40:24Z</dcterms:modified>
  <cp:revision>0</cp:revision>
  <dc:subject/>
  <dc:title>Assessment workbook (fictional case study, simulated)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