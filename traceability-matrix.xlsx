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trix" sheetId="2" state="visible" r:id="rId4"/>
  </sheets>
  <definedNames>
    <definedName function="false" hidden="true" localSheetId="1" name="_xlnm._FilterDatabase" vbProcedure="false">Matrix!$A$3:$O$23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<sst xmlns="http://schemas.openxmlformats.org/spreadsheetml/2006/main" count="327" uniqueCount="254">
  <si>
    <t xml:space="preserve">Traceability matrix</t>
  </si>
  <si>
    <t xml:space="preserve">Case study</t>
  </si>
  <si>
    <t xml:space="preserve">Fictional. All vendor answers and evidence are simulated.</t>
  </si>
  <si>
    <t xml:space="preserve">Chain</t>
  </si>
  <si>
    <t xml:space="preserve">Flow, then observation or claim, then risk, then control requirement, then framework reference, then question, then vendor answer, evidence, rating, finding, remediation and treatment.</t>
  </si>
  <si>
    <t xml:space="preserve">Where the detail lives</t>
  </si>
  <si>
    <t xml:space="preserve">Flows: 03-architecture. Controls and questions: 04-controls (vendor-questionnaire-and-control-map.xlsx, Questionnaire sheet, column A). Answers, findings, risks and actions: 05-assessment (assessment-workbook.xlsx).</t>
  </si>
  <si>
    <t xml:space="preserve">ID note</t>
  </si>
  <si>
    <t xml:space="preserve">Question IDs carry the prefix Q- here (for example Q-E3), because D, F, R and S are also used for data, factors, regulations and scope.</t>
  </si>
  <si>
    <t xml:space="preserve">Rows</t>
  </si>
  <si>
    <t xml:space="preserve">One row per thread. A thread is one control topic followed from the architecture to the decision.</t>
  </si>
  <si>
    <t xml:space="preserve">Thread</t>
  </si>
  <si>
    <t xml:space="preserve">Flow</t>
  </si>
  <si>
    <t xml:space="preserve">Observation or claim</t>
  </si>
  <si>
    <t xml:space="preserve">Risk</t>
  </si>
  <si>
    <t xml:space="preserve">Control requirement</t>
  </si>
  <si>
    <t xml:space="preserve">Framework references</t>
  </si>
  <si>
    <t xml:space="preserve">Questions</t>
  </si>
  <si>
    <t xml:space="preserve">Vendor answer (simulated)</t>
  </si>
  <si>
    <t xml:space="preserve">Evidence</t>
  </si>
  <si>
    <t xml:space="preserve">Rating</t>
  </si>
  <si>
    <t xml:space="preserve">Finding</t>
  </si>
  <si>
    <t xml:space="preserve">Severity</t>
  </si>
  <si>
    <t xml:space="preserve">Remediation</t>
  </si>
  <si>
    <t xml:space="preserve">Treatment</t>
  </si>
  <si>
    <t xml:space="preserve">Decision condition</t>
  </si>
  <si>
    <t xml:space="preserve">T-01</t>
  </si>
  <si>
    <t xml:space="preserve">FA, F3, F6, F11</t>
  </si>
  <si>
    <t xml:space="preserve">X2, V7</t>
  </si>
  <si>
    <t xml:space="preserve">RR-01</t>
  </si>
  <si>
    <t xml:space="preserve">CR-03</t>
  </si>
  <si>
    <t xml:space="preserve">CR-03: DORA Art 9; GDPR Art 32; ISO A.5.17; A.8.24</t>
  </si>
  <si>
    <t xml:space="preserve">Q-E3, Q-O3</t>
  </si>
  <si>
    <t xml:space="preserve">Credentials in a key vault, but 11 staff can read them</t>
  </si>
  <si>
    <t xml:space="preserve">EV-06</t>
  </si>
  <si>
    <t xml:space="preserve">Partial</t>
  </si>
  <si>
    <t xml:space="preserve">FND-01</t>
  </si>
  <si>
    <t xml:space="preserve">High</t>
  </si>
  <si>
    <t xml:space="preserve">REM-01</t>
  </si>
  <si>
    <t xml:space="preserve">Mitigate</t>
  </si>
  <si>
    <t xml:space="preserve">Pre-go-live</t>
  </si>
  <si>
    <t xml:space="preserve">T-02</t>
  </si>
  <si>
    <t xml:space="preserve">CR-04</t>
  </si>
  <si>
    <t xml:space="preserve">CR-04: DORA Art 9; GDPR Art 32; ISO A.5.17</t>
  </si>
  <si>
    <t xml:space="preserve">Q-O4</t>
  </si>
  <si>
    <t xml:space="preserve">Annual manual rotation, revocation in 2 business days</t>
  </si>
  <si>
    <t xml:space="preserve">Gap</t>
  </si>
  <si>
    <t xml:space="preserve">FND-02</t>
  </si>
  <si>
    <t xml:space="preserve">REM-02</t>
  </si>
  <si>
    <t xml:space="preserve">T-03</t>
  </si>
  <si>
    <t xml:space="preserve">FA, F3, F6, F11, F7</t>
  </si>
  <si>
    <t xml:space="preserve">X1, V7</t>
  </si>
  <si>
    <t xml:space="preserve">CR-01, CR-02</t>
  </si>
  <si>
    <t xml:space="preserve">CR-01: DORA Art 9; GDPR Art 32; ISO A.8.20; A.8.22 | CR-02: DORA Art 9; GDPR Art 32; ISO A.8.5; A.8.24</t>
  </si>
  <si>
    <t xml:space="preserve">Q-H1, Q-O1, Q-O2</t>
  </si>
  <si>
    <t xml:space="preserve">Fixed IPs and short-lived tokens, no mutual TLS</t>
  </si>
  <si>
    <t xml:space="preserve">EV-08</t>
  </si>
  <si>
    <t xml:space="preserve">FND-09</t>
  </si>
  <si>
    <t xml:space="preserve">Medium</t>
  </si>
  <si>
    <t xml:space="preserve">REM-09</t>
  </si>
  <si>
    <t xml:space="preserve">Mitigate or accept with sign-off</t>
  </si>
  <si>
    <t xml:space="preserve">Within 90 days</t>
  </si>
  <si>
    <t xml:space="preserve">T-04</t>
  </si>
  <si>
    <t xml:space="preserve">F7, F8</t>
  </si>
  <si>
    <t xml:space="preserve">X3</t>
  </si>
  <si>
    <t xml:space="preserve">RR-04</t>
  </si>
  <si>
    <t xml:space="preserve">CR-11</t>
  </si>
  <si>
    <t xml:space="preserve">CR-11: DORA Art 9; GDPR n/a; ISO A.8.26; A.8.32</t>
  </si>
  <si>
    <t xml:space="preserve">Q-G1, Q-G2, Q-G4, Q-G5</t>
  </si>
  <si>
    <t xml:space="preserve">Staging queue only, files unsigned, no call-back</t>
  </si>
  <si>
    <t xml:space="preserve">EV-16</t>
  </si>
  <si>
    <t xml:space="preserve">FND-21</t>
  </si>
  <si>
    <t xml:space="preserve">REM-21</t>
  </si>
  <si>
    <t xml:space="preserve">T-05</t>
  </si>
  <si>
    <t xml:space="preserve">FS, FG, F10</t>
  </si>
  <si>
    <t xml:space="preserve">X4</t>
  </si>
  <si>
    <t xml:space="preserve">RR-14</t>
  </si>
  <si>
    <t xml:space="preserve">CR-07</t>
  </si>
  <si>
    <t xml:space="preserve">CR-07: DORA Art 9; GDPR Art 32; ISO A.5.16; A.5.17; A.8.5</t>
  </si>
  <si>
    <t xml:space="preserve">Q-B1, Q-B2, Q-B3</t>
  </si>
  <si>
    <t xml:space="preserve">SSO enforced, break-glass accounts not vaulted</t>
  </si>
  <si>
    <t xml:space="preserve">EV-05</t>
  </si>
  <si>
    <t xml:space="preserve">FND-18</t>
  </si>
  <si>
    <t xml:space="preserve">REM-18</t>
  </si>
  <si>
    <t xml:space="preserve">T-06</t>
  </si>
  <si>
    <t xml:space="preserve">FV</t>
  </si>
  <si>
    <t xml:space="preserve">X5, V6, V8</t>
  </si>
  <si>
    <t xml:space="preserve">RR-02</t>
  </si>
  <si>
    <t xml:space="preserve">CR-09, CR-14</t>
  </si>
  <si>
    <t xml:space="preserve">CR-09: DORA Art 9; GDPR Art 28(3)(b); Art 32; ISO A.8.2; A.8.15 | CR-14: DORA Art 30(2)(b); GDPR Arts 44 to 49; ISO A.5.34; A.5.23; Regional rules (R9)</t>
  </si>
  <si>
    <t xml:space="preserve">Q-D2, Q-D4, Q-I2, Q-T1</t>
  </si>
  <si>
    <t xml:space="preserve">Standing access from India, no transfer assessment</t>
  </si>
  <si>
    <t xml:space="preserve">EV-09, EV-10</t>
  </si>
  <si>
    <t xml:space="preserve">FND-03</t>
  </si>
  <si>
    <t xml:space="preserve">REM-03</t>
  </si>
  <si>
    <t xml:space="preserve">T-07</t>
  </si>
  <si>
    <t xml:space="preserve">FN, FL</t>
  </si>
  <si>
    <t xml:space="preserve">X6</t>
  </si>
  <si>
    <t xml:space="preserve">RR-09</t>
  </si>
  <si>
    <t xml:space="preserve">CR-14, CR-15</t>
  </si>
  <si>
    <t xml:space="preserve">CR-14: DORA Art 30(2)(b); GDPR Arts 44 to 49; ISO A.5.34; A.5.23; Regional rules (R9) | CR-15: DORA Art 10; GDPR Art 32; Art 33(2); ISO A.8.15; A.8.16; A.8.11</t>
  </si>
  <si>
    <t xml:space="preserve">Q-I6</t>
  </si>
  <si>
    <t xml:space="preserve">Free text not redacted, US monitoring provider</t>
  </si>
  <si>
    <t xml:space="preserve">EV-18</t>
  </si>
  <si>
    <t xml:space="preserve">FND-13</t>
  </si>
  <si>
    <t xml:space="preserve">REM-13</t>
  </si>
  <si>
    <t xml:space="preserve">T-08</t>
  </si>
  <si>
    <t xml:space="preserve">F5a to F5d, F9, F12</t>
  </si>
  <si>
    <t xml:space="preserve">X7, X12, V9</t>
  </si>
  <si>
    <t xml:space="preserve">RR-10</t>
  </si>
  <si>
    <t xml:space="preserve">CR-16</t>
  </si>
  <si>
    <t xml:space="preserve">CR-16: DORA Art 28(3); Art 28(4); Art 30(2)(a); GDPR Art 28(2); Art 28(4); ISO A.5.19; A.5.21; A.5.22</t>
  </si>
  <si>
    <t xml:space="preserve">Q-K1, Q-K3, Q-K4, Q-K5</t>
  </si>
  <si>
    <t xml:space="preserve">Notice only for material changes, supplier retention 12 months</t>
  </si>
  <si>
    <t xml:space="preserve">EV-10, EV-12</t>
  </si>
  <si>
    <t xml:space="preserve">FND-12</t>
  </si>
  <si>
    <t xml:space="preserve">REM-12</t>
  </si>
  <si>
    <t xml:space="preserve">T-09</t>
  </si>
  <si>
    <t xml:space="preserve">F9</t>
  </si>
  <si>
    <t xml:space="preserve">X8</t>
  </si>
  <si>
    <t xml:space="preserve">RR-16</t>
  </si>
  <si>
    <t xml:space="preserve">CR-17</t>
  </si>
  <si>
    <t xml:space="preserve">CR-17: DORA Art 9; Art 11; GDPR Art 5(1)(d); Art 9; Art 32; ISO A.8.26; A.5.34; A.5.30</t>
  </si>
  <si>
    <t xml:space="preserve">Q-U1, Q-U2, Q-U3</t>
  </si>
  <si>
    <t xml:space="preserve">Schema validation, long retention of assistance data</t>
  </si>
  <si>
    <t xml:space="preserve">EV-25</t>
  </si>
  <si>
    <t xml:space="preserve">FND-17</t>
  </si>
  <si>
    <t xml:space="preserve">REM-17</t>
  </si>
  <si>
    <t xml:space="preserve">T-10</t>
  </si>
  <si>
    <t xml:space="preserve">F10, F11</t>
  </si>
  <si>
    <t xml:space="preserve">X9</t>
  </si>
  <si>
    <t xml:space="preserve">RR-05</t>
  </si>
  <si>
    <t xml:space="preserve">CR-18</t>
  </si>
  <si>
    <t xml:space="preserve">CR-18: DORA Art 9; GDPR n/a; ISO A.8.32; A.5.3; Allowance tax rules (R10)</t>
  </si>
  <si>
    <t xml:space="preserve">Q-Q1, Q-D3, Q-Q2</t>
  </si>
  <si>
    <t xml:space="preserve">One person can change rates, no approval</t>
  </si>
  <si>
    <t xml:space="preserve">EV-15</t>
  </si>
  <si>
    <t xml:space="preserve">FND-07</t>
  </si>
  <si>
    <t xml:space="preserve">REM-07</t>
  </si>
  <si>
    <t xml:space="preserve">T-11</t>
  </si>
  <si>
    <t xml:space="preserve">FG</t>
  </si>
  <si>
    <t xml:space="preserve">X10</t>
  </si>
  <si>
    <t xml:space="preserve">CR-12, CR-21</t>
  </si>
  <si>
    <t xml:space="preserve">CR-12: DORA Art 30(2)(c); Art 30(2)(d); GDPR Art 5(1)(c); Art 5(1)(e); Art 32; ISO A.5.34; A.8.10; A.8.33 | CR-21: DORA Art 9; GDPR Art 5(1)(c); Art 5(1)(e); ISO A.5.3; A.5.15</t>
  </si>
  <si>
    <t xml:space="preserve">Q-I7, Q-F4</t>
  </si>
  <si>
    <t xml:space="preserve">Guest data kept 24 months</t>
  </si>
  <si>
    <t xml:space="preserve">EV-17</t>
  </si>
  <si>
    <t xml:space="preserve">FND-11</t>
  </si>
  <si>
    <t xml:space="preserve">REM-11</t>
  </si>
  <si>
    <t xml:space="preserve">T-12</t>
  </si>
  <si>
    <t xml:space="preserve">F12</t>
  </si>
  <si>
    <t xml:space="preserve">X11, V3</t>
  </si>
  <si>
    <t xml:space="preserve">RR-06</t>
  </si>
  <si>
    <t xml:space="preserve">CR-20</t>
  </si>
  <si>
    <t xml:space="preserve">CR-20: DORA Art 9; Art 28(4); GDPR n/a; ISO A.5.22; A.8.24; PCI DSS (R7)</t>
  </si>
  <si>
    <t xml:space="preserve">Q-P1, Q-P2, Q-P3, Q-P4</t>
  </si>
  <si>
    <t xml:space="preserve">Tokens only, vendor attestation missing</t>
  </si>
  <si>
    <t xml:space="preserve">EV-04, EV-23</t>
  </si>
  <si>
    <t xml:space="preserve">FND-06</t>
  </si>
  <si>
    <t xml:space="preserve">REM-06</t>
  </si>
  <si>
    <t xml:space="preserve">Avoid until attested, then mitigate</t>
  </si>
  <si>
    <t xml:space="preserve">Feature gate</t>
  </si>
  <si>
    <t xml:space="preserve">T-13</t>
  </si>
  <si>
    <t xml:space="preserve">New flow FI (PF-1)</t>
  </si>
  <si>
    <t xml:space="preserve">V13</t>
  </si>
  <si>
    <t xml:space="preserve">RR-03</t>
  </si>
  <si>
    <t xml:space="preserve">CR-28, CR-16</t>
  </si>
  <si>
    <t xml:space="preserve">CR-28: DORA Art 28(3); Art 30(2)(a); GDPR Art 5(1)(b); Art 28(2); ISO A.5.19; A.5.21; A.8.26; ISO/IEC 42001, EU AI Act (to check) | CR-16: DORA Art 28(3); Art 28(4); Art 30(2)(a); GDPR Art 28(2); Art 28(4); ISO A.5.19; A.5.21; A.5.22</t>
  </si>
  <si>
    <t xml:space="preserve">Q-W1, Q-W2, Q-W3, Q-K1, Q-A3</t>
  </si>
  <si>
    <t xml:space="preserve">Undisclosed US AI provider, 30-day prompt retention</t>
  </si>
  <si>
    <t xml:space="preserve">EV-10, EV-11</t>
  </si>
  <si>
    <t xml:space="preserve">FND-04</t>
  </si>
  <si>
    <t xml:space="preserve">REM-04</t>
  </si>
  <si>
    <t xml:space="preserve">Avoid (feature off), then mitigate</t>
  </si>
  <si>
    <t xml:space="preserve">T-14</t>
  </si>
  <si>
    <t xml:space="preserve">All</t>
  </si>
  <si>
    <t xml:space="preserve">V1, V2, V4</t>
  </si>
  <si>
    <t xml:space="preserve">RR-12</t>
  </si>
  <si>
    <t xml:space="preserve">CR-23</t>
  </si>
  <si>
    <t xml:space="preserve">CR-23: DORA Art 28(4); Art 30(3)(d); GDPR Art 28(1); Art 32(1)(d); ISO A.5.22; A.8.8; A.8.29; ISO 27001 and SOC 2 (R8)</t>
  </si>
  <si>
    <t xml:space="preserve">Q-L1, Q-L2</t>
  </si>
  <si>
    <t xml:space="preserve">SOC 2 outdated and narrow, penetration test good</t>
  </si>
  <si>
    <t xml:space="preserve">EV-01, EV-02, EV-03</t>
  </si>
  <si>
    <t xml:space="preserve">FND-08</t>
  </si>
  <si>
    <t xml:space="preserve">REM-08</t>
  </si>
  <si>
    <t xml:space="preserve">T-15</t>
  </si>
  <si>
    <t xml:space="preserve">FH, All</t>
  </si>
  <si>
    <t xml:space="preserve">V5</t>
  </si>
  <si>
    <t xml:space="preserve">RR-07, RR-08</t>
  </si>
  <si>
    <t xml:space="preserve">CR-24</t>
  </si>
  <si>
    <t xml:space="preserve">CR-24: DORA Art 11; Art 12; Art 17; Art 30(2)(e); Art 30(2)(f); Art 30(3)(a); GDPR Art 32(1)(b); Art 32(1)(c); Art 33(2); ISO A.5.24; A.5.26; A.5.30; A.8.13; A.8.14</t>
  </si>
  <si>
    <t xml:space="preserve">Q-M1, Q-M2, Q-N4</t>
  </si>
  <si>
    <t xml:space="preserve">Failover 6 hours, notice 72 hours, no rate card</t>
  </si>
  <si>
    <t xml:space="preserve">EV-13, EV-19, EV-12</t>
  </si>
  <si>
    <t xml:space="preserve">FND-10, FND-16</t>
  </si>
  <si>
    <t xml:space="preserve">REM-10, REM-16</t>
  </si>
  <si>
    <t xml:space="preserve">Mitigate and transfer (contract)</t>
  </si>
  <si>
    <t xml:space="preserve">Pre-go-live and 90 days</t>
  </si>
  <si>
    <t xml:space="preserve">T-16</t>
  </si>
  <si>
    <t xml:space="preserve">R1</t>
  </si>
  <si>
    <t xml:space="preserve">RR-11</t>
  </si>
  <si>
    <t xml:space="preserve">CR-25, CR-06</t>
  </si>
  <si>
    <t xml:space="preserve">CR-25: DORA Art 30(2); Art 30(3); Art 28(7); GDPR Art 28(3); ISO A.5.20 | CR-06: DORA Art 28(8); Art 30(2)(d); GDPR Art 28(3)(g); ISO A.5.18; A.5.20</t>
  </si>
  <si>
    <t xml:space="preserve">Q-N7, Q-N5, Q-M3, Q-O7</t>
  </si>
  <si>
    <t xml:space="preserve">Audit rights limited, no insolvency clause, exit untested</t>
  </si>
  <si>
    <t xml:space="preserve">EV-12</t>
  </si>
  <si>
    <t xml:space="preserve">FND-05, FND-15</t>
  </si>
  <si>
    <t xml:space="preserve">REM-05, REM-15</t>
  </si>
  <si>
    <t xml:space="preserve">Transfer (contract) and mitigate</t>
  </si>
  <si>
    <t xml:space="preserve">T-17</t>
  </si>
  <si>
    <t xml:space="preserve">F4</t>
  </si>
  <si>
    <t xml:space="preserve">V10</t>
  </si>
  <si>
    <t xml:space="preserve">CR-12</t>
  </si>
  <si>
    <t xml:space="preserve">CR-12: DORA Art 30(2)(c); Art 30(2)(d); GDPR Art 5(1)(c); Art 5(1)(e); Art 32; ISO A.5.34; A.8.10; A.8.33</t>
  </si>
  <si>
    <t xml:space="preserve">Q-I5</t>
  </si>
  <si>
    <t xml:space="preserve">Production data in test three times</t>
  </si>
  <si>
    <t xml:space="preserve">EV-20</t>
  </si>
  <si>
    <t xml:space="preserve">FND-14</t>
  </si>
  <si>
    <t xml:space="preserve">REM-14</t>
  </si>
  <si>
    <t xml:space="preserve">T-18</t>
  </si>
  <si>
    <t xml:space="preserve">FV, FS</t>
  </si>
  <si>
    <t xml:space="preserve">Stage 1 F5</t>
  </si>
  <si>
    <t xml:space="preserve">RR-13</t>
  </si>
  <si>
    <t xml:space="preserve">CR-10</t>
  </si>
  <si>
    <t xml:space="preserve">CR-10: DORA Art 9; GDPR Art 32; ISO A.8.3; A.5.15</t>
  </si>
  <si>
    <t xml:space="preserve">Q-D5</t>
  </si>
  <si>
    <t xml:space="preserve">Support sees VIP profiles unmasked</t>
  </si>
  <si>
    <t xml:space="preserve">none</t>
  </si>
  <si>
    <t xml:space="preserve">FND-19</t>
  </si>
  <si>
    <t xml:space="preserve">REM-19</t>
  </si>
  <si>
    <t xml:space="preserve">T-19</t>
  </si>
  <si>
    <t xml:space="preserve">FH</t>
  </si>
  <si>
    <t xml:space="preserve">R9</t>
  </si>
  <si>
    <t xml:space="preserve">RR-15</t>
  </si>
  <si>
    <t xml:space="preserve">CR-14</t>
  </si>
  <si>
    <t xml:space="preserve">CR-14: DORA Art 30(2)(b); GDPR Arts 44 to 49; ISO A.5.34; A.5.23; Regional rules (R9)</t>
  </si>
  <si>
    <t xml:space="preserve">Q-T2</t>
  </si>
  <si>
    <t xml:space="preserve">EU-only hosting</t>
  </si>
  <si>
    <t xml:space="preserve">FND-20</t>
  </si>
  <si>
    <t xml:space="preserve">REM-20</t>
  </si>
  <si>
    <t xml:space="preserve">Avoid (EU first), then mitigate</t>
  </si>
  <si>
    <t xml:space="preserve">T-20</t>
  </si>
  <si>
    <t xml:space="preserve">F3, F5a, FS</t>
  </si>
  <si>
    <t xml:space="preserve">S11, Stage 1 R5</t>
  </si>
  <si>
    <t xml:space="preserve">RR-17</t>
  </si>
  <si>
    <t xml:space="preserve">CR-19, CR-08</t>
  </si>
  <si>
    <t xml:space="preserve">CR-19: DORA Art 9; GDPR Art 32; ISO A.5.3; A.5.15; Anti-bribery and gifts policy (R5) | CR-08: DORA Art 9; GDPR Art 32; ISO A.5.16; A.5.18; A.6.5</t>
  </si>
  <si>
    <t xml:space="preserve">Q-Q4, Q-Q5, Q-C5</t>
  </si>
  <si>
    <t xml:space="preserve">No access or usage reports</t>
  </si>
  <si>
    <t xml:space="preserve">FND-22</t>
  </si>
  <si>
    <t xml:space="preserve">Low</t>
  </si>
  <si>
    <t xml:space="preserve">REM-22</t>
  </si>
  <si>
    <t xml:space="preserve">Accept and track</t>
  </si>
  <si>
    <t xml:space="preserve">Track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</si>
</sst>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3B4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7C1C1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C0DD97"/>
          <bgColor rgb="FF000000"/>
        </patternFill>
      </fill>
    </dxf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C0DD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3" t="s">
        <v>4</v>
      </c>
    </row>
    <row r="4" customFormat="false" ht="23.8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18"/>
    <col collapsed="false" customWidth="true" hidden="false" outlineLevel="0" max="8" min="8" style="0" width="44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26"/>
    <col collapsed="false" customWidth="true" hidden="false" outlineLevel="0" max="15" min="15" style="0" width="18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</row>
    <row r="4" customFormat="false" ht="15" hidden="false" customHeight="false" outlineLevel="0" collapsed="false">
      <c r="A4" s="5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</row>
    <row r="5" customFormat="false" ht="15" hidden="false" customHeight="false" outlineLevel="0" collapsed="false">
      <c r="A5" s="5" t="s">
        <v>41</v>
      </c>
      <c r="B5" s="6" t="s">
        <v>27</v>
      </c>
      <c r="C5" s="6" t="s">
        <v>28</v>
      </c>
      <c r="D5" s="6" t="s">
        <v>29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34</v>
      </c>
      <c r="J5" s="6" t="s">
        <v>46</v>
      </c>
      <c r="K5" s="6" t="s">
        <v>47</v>
      </c>
      <c r="L5" s="6" t="s">
        <v>37</v>
      </c>
      <c r="M5" s="6" t="s">
        <v>48</v>
      </c>
      <c r="N5" s="6" t="s">
        <v>39</v>
      </c>
      <c r="O5" s="6" t="s">
        <v>40</v>
      </c>
    </row>
    <row r="6" customFormat="false" ht="23.85" hidden="false" customHeight="false" outlineLevel="0" collapsed="false">
      <c r="A6" s="5" t="s">
        <v>49</v>
      </c>
      <c r="B6" s="6" t="s">
        <v>50</v>
      </c>
      <c r="C6" s="6" t="s">
        <v>51</v>
      </c>
      <c r="D6" s="6" t="s">
        <v>29</v>
      </c>
      <c r="E6" s="6" t="s">
        <v>52</v>
      </c>
      <c r="F6" s="6" t="s">
        <v>53</v>
      </c>
      <c r="G6" s="6" t="s">
        <v>54</v>
      </c>
      <c r="H6" s="6" t="s">
        <v>55</v>
      </c>
      <c r="I6" s="6" t="s">
        <v>56</v>
      </c>
      <c r="J6" s="6" t="s">
        <v>35</v>
      </c>
      <c r="K6" s="6" t="s">
        <v>57</v>
      </c>
      <c r="L6" s="6" t="s">
        <v>58</v>
      </c>
      <c r="M6" s="6" t="s">
        <v>59</v>
      </c>
      <c r="N6" s="6" t="s">
        <v>60</v>
      </c>
      <c r="O6" s="6" t="s">
        <v>61</v>
      </c>
    </row>
    <row r="7" customFormat="false" ht="23.85" hidden="false" customHeight="false" outlineLevel="0" collapsed="false">
      <c r="A7" s="5" t="s">
        <v>62</v>
      </c>
      <c r="B7" s="6" t="s">
        <v>63</v>
      </c>
      <c r="C7" s="6" t="s">
        <v>64</v>
      </c>
      <c r="D7" s="6" t="s">
        <v>65</v>
      </c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46</v>
      </c>
      <c r="K7" s="6" t="s">
        <v>71</v>
      </c>
      <c r="L7" s="6" t="s">
        <v>58</v>
      </c>
      <c r="M7" s="6" t="s">
        <v>72</v>
      </c>
      <c r="N7" s="6" t="s">
        <v>39</v>
      </c>
      <c r="O7" s="6" t="s">
        <v>61</v>
      </c>
    </row>
    <row r="8" customFormat="false" ht="15" hidden="false" customHeight="false" outlineLevel="0" collapsed="false">
      <c r="A8" s="5" t="s">
        <v>73</v>
      </c>
      <c r="B8" s="6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6" t="s">
        <v>81</v>
      </c>
      <c r="J8" s="6" t="s">
        <v>35</v>
      </c>
      <c r="K8" s="6" t="s">
        <v>82</v>
      </c>
      <c r="L8" s="6" t="s">
        <v>58</v>
      </c>
      <c r="M8" s="6" t="s">
        <v>83</v>
      </c>
      <c r="N8" s="6" t="s">
        <v>39</v>
      </c>
      <c r="O8" s="6" t="s">
        <v>61</v>
      </c>
    </row>
    <row r="9" customFormat="false" ht="35.05" hidden="false" customHeight="false" outlineLevel="0" collapsed="false">
      <c r="A9" s="5" t="s">
        <v>84</v>
      </c>
      <c r="B9" s="6" t="s">
        <v>85</v>
      </c>
      <c r="C9" s="6" t="s">
        <v>86</v>
      </c>
      <c r="D9" s="6" t="s">
        <v>87</v>
      </c>
      <c r="E9" s="6" t="s">
        <v>88</v>
      </c>
      <c r="F9" s="6" t="s">
        <v>89</v>
      </c>
      <c r="G9" s="6" t="s">
        <v>90</v>
      </c>
      <c r="H9" s="6" t="s">
        <v>91</v>
      </c>
      <c r="I9" s="6" t="s">
        <v>92</v>
      </c>
      <c r="J9" s="6" t="s">
        <v>46</v>
      </c>
      <c r="K9" s="6" t="s">
        <v>93</v>
      </c>
      <c r="L9" s="6" t="s">
        <v>37</v>
      </c>
      <c r="M9" s="6" t="s">
        <v>94</v>
      </c>
      <c r="N9" s="6" t="s">
        <v>39</v>
      </c>
      <c r="O9" s="6" t="s">
        <v>40</v>
      </c>
    </row>
    <row r="10" customFormat="false" ht="35.05" hidden="false" customHeight="false" outlineLevel="0" collapsed="false">
      <c r="A10" s="5" t="s">
        <v>95</v>
      </c>
      <c r="B10" s="6" t="s">
        <v>96</v>
      </c>
      <c r="C10" s="6" t="s">
        <v>97</v>
      </c>
      <c r="D10" s="6" t="s">
        <v>98</v>
      </c>
      <c r="E10" s="6" t="s">
        <v>99</v>
      </c>
      <c r="F10" s="6" t="s">
        <v>100</v>
      </c>
      <c r="G10" s="6" t="s">
        <v>101</v>
      </c>
      <c r="H10" s="6" t="s">
        <v>102</v>
      </c>
      <c r="I10" s="6" t="s">
        <v>103</v>
      </c>
      <c r="J10" s="6" t="s">
        <v>35</v>
      </c>
      <c r="K10" s="6" t="s">
        <v>104</v>
      </c>
      <c r="L10" s="6" t="s">
        <v>58</v>
      </c>
      <c r="M10" s="6" t="s">
        <v>105</v>
      </c>
      <c r="N10" s="6" t="s">
        <v>39</v>
      </c>
      <c r="O10" s="6" t="s">
        <v>61</v>
      </c>
    </row>
    <row r="11" customFormat="false" ht="23.85" hidden="false" customHeight="false" outlineLevel="0" collapsed="false">
      <c r="A11" s="5" t="s">
        <v>106</v>
      </c>
      <c r="B11" s="6" t="s">
        <v>107</v>
      </c>
      <c r="C11" s="6" t="s">
        <v>108</v>
      </c>
      <c r="D11" s="6" t="s">
        <v>109</v>
      </c>
      <c r="E11" s="6" t="s">
        <v>110</v>
      </c>
      <c r="F11" s="6" t="s">
        <v>111</v>
      </c>
      <c r="G11" s="6" t="s">
        <v>112</v>
      </c>
      <c r="H11" s="6" t="s">
        <v>113</v>
      </c>
      <c r="I11" s="6" t="s">
        <v>114</v>
      </c>
      <c r="J11" s="6" t="s">
        <v>35</v>
      </c>
      <c r="K11" s="6" t="s">
        <v>115</v>
      </c>
      <c r="L11" s="6" t="s">
        <v>58</v>
      </c>
      <c r="M11" s="6" t="s">
        <v>116</v>
      </c>
      <c r="N11" s="6" t="s">
        <v>39</v>
      </c>
      <c r="O11" s="6" t="s">
        <v>40</v>
      </c>
    </row>
    <row r="12" customFormat="false" ht="23.85" hidden="false" customHeight="false" outlineLevel="0" collapsed="false">
      <c r="A12" s="5" t="s">
        <v>117</v>
      </c>
      <c r="B12" s="6" t="s">
        <v>118</v>
      </c>
      <c r="C12" s="6" t="s">
        <v>119</v>
      </c>
      <c r="D12" s="6" t="s">
        <v>120</v>
      </c>
      <c r="E12" s="6" t="s">
        <v>121</v>
      </c>
      <c r="F12" s="6" t="s">
        <v>122</v>
      </c>
      <c r="G12" s="6" t="s">
        <v>123</v>
      </c>
      <c r="H12" s="6" t="s">
        <v>124</v>
      </c>
      <c r="I12" s="6" t="s">
        <v>125</v>
      </c>
      <c r="J12" s="6" t="s">
        <v>35</v>
      </c>
      <c r="K12" s="6" t="s">
        <v>126</v>
      </c>
      <c r="L12" s="6" t="s">
        <v>58</v>
      </c>
      <c r="M12" s="6" t="s">
        <v>127</v>
      </c>
      <c r="N12" s="6" t="s">
        <v>39</v>
      </c>
      <c r="O12" s="6" t="s">
        <v>61</v>
      </c>
    </row>
    <row r="13" customFormat="false" ht="23.85" hidden="false" customHeight="false" outlineLevel="0" collapsed="false">
      <c r="A13" s="5" t="s">
        <v>128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133</v>
      </c>
      <c r="G13" s="6" t="s">
        <v>134</v>
      </c>
      <c r="H13" s="6" t="s">
        <v>135</v>
      </c>
      <c r="I13" s="6" t="s">
        <v>136</v>
      </c>
      <c r="J13" s="6" t="s">
        <v>46</v>
      </c>
      <c r="K13" s="6" t="s">
        <v>137</v>
      </c>
      <c r="L13" s="6" t="s">
        <v>58</v>
      </c>
      <c r="M13" s="6" t="s">
        <v>138</v>
      </c>
      <c r="N13" s="6" t="s">
        <v>39</v>
      </c>
      <c r="O13" s="6" t="s">
        <v>61</v>
      </c>
    </row>
    <row r="14" customFormat="false" ht="35.05" hidden="false" customHeight="false" outlineLevel="0" collapsed="false">
      <c r="A14" s="5" t="s">
        <v>139</v>
      </c>
      <c r="B14" s="6" t="s">
        <v>140</v>
      </c>
      <c r="C14" s="6" t="s">
        <v>141</v>
      </c>
      <c r="D14" s="6" t="s">
        <v>98</v>
      </c>
      <c r="E14" s="6" t="s">
        <v>142</v>
      </c>
      <c r="F14" s="6" t="s">
        <v>143</v>
      </c>
      <c r="G14" s="6" t="s">
        <v>144</v>
      </c>
      <c r="H14" s="6" t="s">
        <v>145</v>
      </c>
      <c r="I14" s="6" t="s">
        <v>146</v>
      </c>
      <c r="J14" s="6" t="s">
        <v>46</v>
      </c>
      <c r="K14" s="6" t="s">
        <v>147</v>
      </c>
      <c r="L14" s="6" t="s">
        <v>58</v>
      </c>
      <c r="M14" s="6" t="s">
        <v>148</v>
      </c>
      <c r="N14" s="6" t="s">
        <v>39</v>
      </c>
      <c r="O14" s="6" t="s">
        <v>61</v>
      </c>
    </row>
    <row r="15" customFormat="false" ht="23.85" hidden="false" customHeight="false" outlineLevel="0" collapsed="false">
      <c r="A15" s="5" t="s">
        <v>149</v>
      </c>
      <c r="B15" s="6" t="s">
        <v>150</v>
      </c>
      <c r="C15" s="6" t="s">
        <v>151</v>
      </c>
      <c r="D15" s="6" t="s">
        <v>152</v>
      </c>
      <c r="E15" s="6" t="s">
        <v>153</v>
      </c>
      <c r="F15" s="6" t="s">
        <v>154</v>
      </c>
      <c r="G15" s="6" t="s">
        <v>155</v>
      </c>
      <c r="H15" s="6" t="s">
        <v>156</v>
      </c>
      <c r="I15" s="6" t="s">
        <v>157</v>
      </c>
      <c r="J15" s="6" t="s">
        <v>35</v>
      </c>
      <c r="K15" s="6" t="s">
        <v>158</v>
      </c>
      <c r="L15" s="6" t="s">
        <v>58</v>
      </c>
      <c r="M15" s="6" t="s">
        <v>159</v>
      </c>
      <c r="N15" s="6" t="s">
        <v>160</v>
      </c>
      <c r="O15" s="6" t="s">
        <v>161</v>
      </c>
    </row>
    <row r="16" customFormat="false" ht="46.25" hidden="false" customHeight="false" outlineLevel="0" collapsed="false">
      <c r="A16" s="5" t="s">
        <v>162</v>
      </c>
      <c r="B16" s="6" t="s">
        <v>163</v>
      </c>
      <c r="C16" s="6" t="s">
        <v>164</v>
      </c>
      <c r="D16" s="6" t="s">
        <v>165</v>
      </c>
      <c r="E16" s="6" t="s">
        <v>166</v>
      </c>
      <c r="F16" s="6" t="s">
        <v>167</v>
      </c>
      <c r="G16" s="6" t="s">
        <v>168</v>
      </c>
      <c r="H16" s="6" t="s">
        <v>169</v>
      </c>
      <c r="I16" s="6" t="s">
        <v>170</v>
      </c>
      <c r="J16" s="6" t="s">
        <v>35</v>
      </c>
      <c r="K16" s="6" t="s">
        <v>171</v>
      </c>
      <c r="L16" s="6" t="s">
        <v>37</v>
      </c>
      <c r="M16" s="6" t="s">
        <v>172</v>
      </c>
      <c r="N16" s="6" t="s">
        <v>173</v>
      </c>
      <c r="O16" s="6" t="s">
        <v>161</v>
      </c>
    </row>
    <row r="17" customFormat="false" ht="23.85" hidden="false" customHeight="false" outlineLevel="0" collapsed="false">
      <c r="A17" s="5" t="s">
        <v>174</v>
      </c>
      <c r="B17" s="6" t="s">
        <v>175</v>
      </c>
      <c r="C17" s="6" t="s">
        <v>176</v>
      </c>
      <c r="D17" s="6" t="s">
        <v>177</v>
      </c>
      <c r="E17" s="6" t="s">
        <v>178</v>
      </c>
      <c r="F17" s="6" t="s">
        <v>179</v>
      </c>
      <c r="G17" s="6" t="s">
        <v>180</v>
      </c>
      <c r="H17" s="6" t="s">
        <v>181</v>
      </c>
      <c r="I17" s="6" t="s">
        <v>182</v>
      </c>
      <c r="J17" s="6" t="s">
        <v>35</v>
      </c>
      <c r="K17" s="6" t="s">
        <v>183</v>
      </c>
      <c r="L17" s="6" t="s">
        <v>58</v>
      </c>
      <c r="M17" s="6" t="s">
        <v>184</v>
      </c>
      <c r="N17" s="6" t="s">
        <v>39</v>
      </c>
      <c r="O17" s="6" t="s">
        <v>40</v>
      </c>
    </row>
    <row r="18" customFormat="false" ht="35.05" hidden="false" customHeight="false" outlineLevel="0" collapsed="false">
      <c r="A18" s="5" t="s">
        <v>185</v>
      </c>
      <c r="B18" s="6" t="s">
        <v>186</v>
      </c>
      <c r="C18" s="6" t="s">
        <v>187</v>
      </c>
      <c r="D18" s="6" t="s">
        <v>188</v>
      </c>
      <c r="E18" s="6" t="s">
        <v>189</v>
      </c>
      <c r="F18" s="6" t="s">
        <v>190</v>
      </c>
      <c r="G18" s="6" t="s">
        <v>191</v>
      </c>
      <c r="H18" s="6" t="s">
        <v>192</v>
      </c>
      <c r="I18" s="6" t="s">
        <v>193</v>
      </c>
      <c r="J18" s="6" t="s">
        <v>35</v>
      </c>
      <c r="K18" s="6" t="s">
        <v>194</v>
      </c>
      <c r="L18" s="6" t="s">
        <v>58</v>
      </c>
      <c r="M18" s="6" t="s">
        <v>195</v>
      </c>
      <c r="N18" s="6" t="s">
        <v>196</v>
      </c>
      <c r="O18" s="6" t="s">
        <v>197</v>
      </c>
    </row>
    <row r="19" customFormat="false" ht="35.05" hidden="false" customHeight="false" outlineLevel="0" collapsed="false">
      <c r="A19" s="5" t="s">
        <v>198</v>
      </c>
      <c r="B19" s="6" t="s">
        <v>175</v>
      </c>
      <c r="C19" s="6" t="s">
        <v>199</v>
      </c>
      <c r="D19" s="6" t="s">
        <v>200</v>
      </c>
      <c r="E19" s="6" t="s">
        <v>201</v>
      </c>
      <c r="F19" s="6" t="s">
        <v>202</v>
      </c>
      <c r="G19" s="6" t="s">
        <v>203</v>
      </c>
      <c r="H19" s="6" t="s">
        <v>204</v>
      </c>
      <c r="I19" s="6" t="s">
        <v>205</v>
      </c>
      <c r="J19" s="6" t="s">
        <v>46</v>
      </c>
      <c r="K19" s="6" t="s">
        <v>206</v>
      </c>
      <c r="L19" s="6" t="s">
        <v>37</v>
      </c>
      <c r="M19" s="6" t="s">
        <v>207</v>
      </c>
      <c r="N19" s="6" t="s">
        <v>208</v>
      </c>
      <c r="O19" s="6" t="s">
        <v>40</v>
      </c>
    </row>
    <row r="20" customFormat="false" ht="23.85" hidden="false" customHeight="false" outlineLevel="0" collapsed="false">
      <c r="A20" s="5" t="s">
        <v>209</v>
      </c>
      <c r="B20" s="6" t="s">
        <v>210</v>
      </c>
      <c r="C20" s="6" t="s">
        <v>211</v>
      </c>
      <c r="D20" s="6" t="s">
        <v>98</v>
      </c>
      <c r="E20" s="6" t="s">
        <v>212</v>
      </c>
      <c r="F20" s="6" t="s">
        <v>213</v>
      </c>
      <c r="G20" s="6" t="s">
        <v>214</v>
      </c>
      <c r="H20" s="6" t="s">
        <v>215</v>
      </c>
      <c r="I20" s="6" t="s">
        <v>216</v>
      </c>
      <c r="J20" s="6" t="s">
        <v>35</v>
      </c>
      <c r="K20" s="6" t="s">
        <v>217</v>
      </c>
      <c r="L20" s="6" t="s">
        <v>58</v>
      </c>
      <c r="M20" s="6" t="s">
        <v>218</v>
      </c>
      <c r="N20" s="6" t="s">
        <v>39</v>
      </c>
      <c r="O20" s="6" t="s">
        <v>61</v>
      </c>
    </row>
    <row r="21" customFormat="false" ht="15" hidden="false" customHeight="false" outlineLevel="0" collapsed="false">
      <c r="A21" s="5" t="s">
        <v>219</v>
      </c>
      <c r="B21" s="6" t="s">
        <v>220</v>
      </c>
      <c r="C21" s="6" t="s">
        <v>221</v>
      </c>
      <c r="D21" s="6" t="s">
        <v>222</v>
      </c>
      <c r="E21" s="6" t="s">
        <v>223</v>
      </c>
      <c r="F21" s="6" t="s">
        <v>224</v>
      </c>
      <c r="G21" s="6" t="s">
        <v>225</v>
      </c>
      <c r="H21" s="6" t="s">
        <v>226</v>
      </c>
      <c r="I21" s="6" t="s">
        <v>227</v>
      </c>
      <c r="J21" s="6" t="s">
        <v>35</v>
      </c>
      <c r="K21" s="6" t="s">
        <v>228</v>
      </c>
      <c r="L21" s="6" t="s">
        <v>58</v>
      </c>
      <c r="M21" s="6" t="s">
        <v>229</v>
      </c>
      <c r="N21" s="6" t="s">
        <v>39</v>
      </c>
      <c r="O21" s="6" t="s">
        <v>61</v>
      </c>
    </row>
    <row r="22" customFormat="false" ht="23.85" hidden="false" customHeight="false" outlineLevel="0" collapsed="false">
      <c r="A22" s="5" t="s">
        <v>230</v>
      </c>
      <c r="B22" s="6" t="s">
        <v>231</v>
      </c>
      <c r="C22" s="6" t="s">
        <v>232</v>
      </c>
      <c r="D22" s="6" t="s">
        <v>233</v>
      </c>
      <c r="E22" s="6" t="s">
        <v>234</v>
      </c>
      <c r="F22" s="6" t="s">
        <v>235</v>
      </c>
      <c r="G22" s="6" t="s">
        <v>236</v>
      </c>
      <c r="H22" s="6" t="s">
        <v>237</v>
      </c>
      <c r="I22" s="6" t="s">
        <v>227</v>
      </c>
      <c r="J22" s="6" t="s">
        <v>46</v>
      </c>
      <c r="K22" s="6" t="s">
        <v>238</v>
      </c>
      <c r="L22" s="6" t="s">
        <v>58</v>
      </c>
      <c r="M22" s="6" t="s">
        <v>239</v>
      </c>
      <c r="N22" s="6" t="s">
        <v>240</v>
      </c>
      <c r="O22" s="6" t="s">
        <v>61</v>
      </c>
    </row>
    <row r="23" customFormat="false" ht="35.05" hidden="false" customHeight="false" outlineLevel="0" collapsed="false">
      <c r="A23" s="5" t="s">
        <v>241</v>
      </c>
      <c r="B23" s="6" t="s">
        <v>242</v>
      </c>
      <c r="C23" s="6" t="s">
        <v>243</v>
      </c>
      <c r="D23" s="6" t="s">
        <v>244</v>
      </c>
      <c r="E23" s="6" t="s">
        <v>245</v>
      </c>
      <c r="F23" s="6" t="s">
        <v>246</v>
      </c>
      <c r="G23" s="6" t="s">
        <v>247</v>
      </c>
      <c r="H23" s="6" t="s">
        <v>248</v>
      </c>
      <c r="I23" s="6" t="s">
        <v>227</v>
      </c>
      <c r="J23" s="6" t="s">
        <v>35</v>
      </c>
      <c r="K23" s="6" t="s">
        <v>249</v>
      </c>
      <c r="L23" s="6" t="s">
        <v>250</v>
      </c>
      <c r="M23" s="6" t="s">
        <v>251</v>
      </c>
      <c r="N23" s="6" t="s">
        <v>252</v>
      </c>
      <c r="O23" s="6" t="s">
        <v>253</v>
      </c>
    </row>
  </sheetData>
  <autoFilter ref="A3:O23"/>
  <conditionalFormatting sqref="L4:L23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</conditionalFormatting>
  <conditionalFormatting sqref="J4:J23">
    <cfRule type="cellIs" priority="5" operator="equal" aboveAverage="0" equalAverage="0" bottom="0" percent="0" rank="0" text="" dxfId="7">
      <formula>"Gap"</formula>
    </cfRule>
    <cfRule type="cellIs" priority="6" operator="equal" aboveAverage="0" equalAverage="0" bottom="0" percent="0" rank="0" text="" dxfId="8">
      <formula>"Partial"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2026-10-04T10:40:24Z</dcterms:created>
  <dc:creator>openpyxl</dc:creator>
  <dc:description/>
  <dc:language>en-US</dc:language>
  <cp:lastModifiedBy/>
  <dcterms:modified xsi:type="dcterms:W3CDTF">2026-10-04T10:40:24Z</dcterms:modified>
  <cp:revision>0</cp:revision>
  <dc:subject/>
  <dc:title>Traceability matrix (fictional case study)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